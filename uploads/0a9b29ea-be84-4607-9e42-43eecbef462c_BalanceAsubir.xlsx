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Nazly\Documents\Business\DOCS Desarrollo CAF\Test Cierres Contables\Daxa\"/>
    </mc:Choice>
  </mc:AlternateContent>
  <xr:revisionPtr revIDLastSave="0" documentId="13_ncr:1_{EF50C806-9E54-4BD2-BE69-D78A187F804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A10" i="1" l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9" i="1"/>
</calcChain>
</file>

<file path=xl/sharedStrings.xml><?xml version="1.0" encoding="utf-8"?>
<sst xmlns="http://schemas.openxmlformats.org/spreadsheetml/2006/main" count="13560" uniqueCount="1086">
  <si>
    <t>Balance de prueba por tercero</t>
  </si>
  <si>
    <t>DAXA QUALITY HEALTH S.A.S</t>
  </si>
  <si>
    <t>901434038-</t>
  </si>
  <si>
    <t xml:space="preserve">De Junio 2024 a Junio 2024 </t>
  </si>
  <si>
    <t>Nivel</t>
  </si>
  <si>
    <t>Transaccional</t>
  </si>
  <si>
    <t>Código cuenta contable</t>
  </si>
  <si>
    <t>Nombre cuenta contable</t>
  </si>
  <si>
    <t>Identificación</t>
  </si>
  <si>
    <t>Sucursal</t>
  </si>
  <si>
    <t>Nombre tercero</t>
  </si>
  <si>
    <t>Saldo inicial</t>
  </si>
  <si>
    <t>Movimiento débito</t>
  </si>
  <si>
    <t>Movimiento crédito</t>
  </si>
  <si>
    <t>Saldo final</t>
  </si>
  <si>
    <t>Clase</t>
  </si>
  <si>
    <t>No</t>
  </si>
  <si>
    <t>1</t>
  </si>
  <si>
    <t>Activo</t>
  </si>
  <si>
    <t>Grupo</t>
  </si>
  <si>
    <t>11</t>
  </si>
  <si>
    <t>Efectivo y equivalentes de efectivo</t>
  </si>
  <si>
    <t>Cuenta</t>
  </si>
  <si>
    <t>1110</t>
  </si>
  <si>
    <t>Bancos</t>
  </si>
  <si>
    <t>Subcuenta</t>
  </si>
  <si>
    <t>111005</t>
  </si>
  <si>
    <t>Moneda nacional</t>
  </si>
  <si>
    <t>Auxiliar</t>
  </si>
  <si>
    <t>Sí</t>
  </si>
  <si>
    <t>11100501</t>
  </si>
  <si>
    <t>860007322</t>
  </si>
  <si>
    <t>Camara de comercio de bogota</t>
  </si>
  <si>
    <t>899999061</t>
  </si>
  <si>
    <t>Secretaría Distrital de Hacienda</t>
  </si>
  <si>
    <t>890903938</t>
  </si>
  <si>
    <t>Bancolombia</t>
  </si>
  <si>
    <t>899999034</t>
  </si>
  <si>
    <t>Servicio Nacional de Aprendizaje</t>
  </si>
  <si>
    <t>800197268</t>
  </si>
  <si>
    <t>DIAN</t>
  </si>
  <si>
    <t>800224808</t>
  </si>
  <si>
    <t>Porvenir S.A</t>
  </si>
  <si>
    <t>29661798</t>
  </si>
  <si>
    <t>MARTHA LUCIA SAVEEDRA ORTEGA</t>
  </si>
  <si>
    <t>1007847504</t>
  </si>
  <si>
    <t>Lizeth Atehortua Olarte</t>
  </si>
  <si>
    <t>52377442</t>
  </si>
  <si>
    <t>ANGELICA MARIA QUIMBAYO</t>
  </si>
  <si>
    <t>7128531</t>
  </si>
  <si>
    <t>GABRIEL OBDULIO REINA TOVAR</t>
  </si>
  <si>
    <t>901733873</t>
  </si>
  <si>
    <t>AV SALUD INTEGRAL SAS</t>
  </si>
  <si>
    <t>901115633</t>
  </si>
  <si>
    <t>CAROLINA MARTINEZ SAS</t>
  </si>
  <si>
    <t>900104326</t>
  </si>
  <si>
    <t>COMPUFAST PREMIUM S.A</t>
  </si>
  <si>
    <t>901745690</t>
  </si>
  <si>
    <t>JOHANNA DAZA MEDICINA ANTIENVEJECIMIENTO S.A.S.</t>
  </si>
  <si>
    <t>900626859</t>
  </si>
  <si>
    <t>DISTRISERVICIOS GRAFICOS S.A.S.</t>
  </si>
  <si>
    <t>900995954</t>
  </si>
  <si>
    <t>SEMPLI S.A.S.</t>
  </si>
  <si>
    <t>901037101</t>
  </si>
  <si>
    <t>CO-WORK LATAM COLOMBIA S.A.S</t>
  </si>
  <si>
    <t>900889468</t>
  </si>
  <si>
    <t>PALMA DE WEB SAS</t>
  </si>
  <si>
    <t>805020770</t>
  </si>
  <si>
    <t>EUTOESTETICA SAS</t>
  </si>
  <si>
    <t>900379427</t>
  </si>
  <si>
    <t>INVERSIONES LAC SAS</t>
  </si>
  <si>
    <t>901477526</t>
  </si>
  <si>
    <t>SABANA MEDICAL SPA SAS</t>
  </si>
  <si>
    <t>901020041</t>
  </si>
  <si>
    <t>BENESSERE S.A.S</t>
  </si>
  <si>
    <t>1037607710</t>
  </si>
  <si>
    <t>MANUELA DUQUE MOLINA</t>
  </si>
  <si>
    <t>900161580</t>
  </si>
  <si>
    <t>ORGANIZACION SANTAMARIA SAS</t>
  </si>
  <si>
    <t>901456421</t>
  </si>
  <si>
    <t>DELUXE ORIENTE S.A.S</t>
  </si>
  <si>
    <t>1067897357</t>
  </si>
  <si>
    <t>KATERINE SAEZ ZABALETA</t>
  </si>
  <si>
    <t>830081040</t>
  </si>
  <si>
    <t>INSTITUTO DE ESTETICA MEDICA DE COLOMBIA LTDA.</t>
  </si>
  <si>
    <t>901476016</t>
  </si>
  <si>
    <t>ALESTETIC RIONEGRO S.A.S</t>
  </si>
  <si>
    <t>830054539</t>
  </si>
  <si>
    <t>FIDUCIARIA BANCOLOMBIA S.A</t>
  </si>
  <si>
    <t>900192072</t>
  </si>
  <si>
    <t>SEOUL MEDICINA ESTETICA INTEGRAL Y SPA S.A.</t>
  </si>
  <si>
    <t>900308524</t>
  </si>
  <si>
    <t>INTÉGRIM SAS</t>
  </si>
  <si>
    <t>9900308524</t>
  </si>
  <si>
    <t>INTÉGRIM S A S</t>
  </si>
  <si>
    <t>900362559</t>
  </si>
  <si>
    <t>INSTITUTO DE CIRUGÍA PLÁSTICA RECONSTRUCTIVA Y SALUD ESTÉTICAVITALUM I.P.S S.A.S</t>
  </si>
  <si>
    <t>32936199</t>
  </si>
  <si>
    <t>ALEIDA MARIA GIRALDO CASTRO</t>
  </si>
  <si>
    <t>900397663</t>
  </si>
  <si>
    <t>BTL COLOMBIA SAS</t>
  </si>
  <si>
    <t>31383821</t>
  </si>
  <si>
    <t>PATRICIA LOPEZ</t>
  </si>
  <si>
    <t>900297847</t>
  </si>
  <si>
    <t>CENTRO CONTRA EFECTOS DE LA EDAD S.A.S</t>
  </si>
  <si>
    <t>901000155</t>
  </si>
  <si>
    <t>DELUXE BY CRISTINA JARAMILLO S.A.S</t>
  </si>
  <si>
    <t>860531315</t>
  </si>
  <si>
    <t>ALIANZA FIDUCIARIA S.A.</t>
  </si>
  <si>
    <t>53120695</t>
  </si>
  <si>
    <t>ADRIANA MARCELA WALTEROS RINCON</t>
  </si>
  <si>
    <t>860066942</t>
  </si>
  <si>
    <t>Compensar</t>
  </si>
  <si>
    <t>901398776</t>
  </si>
  <si>
    <t>SERVICIOS FINANCIEROS OPERATIVOS FINANCIEROS SAS</t>
  </si>
  <si>
    <t>901093584</t>
  </si>
  <si>
    <t>VITTI S A S</t>
  </si>
  <si>
    <t>830048145</t>
  </si>
  <si>
    <t>SIIGO S.A.S</t>
  </si>
  <si>
    <t>80196373</t>
  </si>
  <si>
    <t>JUAN FERNANDO DURAN LOPEZ</t>
  </si>
  <si>
    <t>92555120</t>
  </si>
  <si>
    <t>JOSE OMAR VELILLA</t>
  </si>
  <si>
    <t>11100504</t>
  </si>
  <si>
    <t>Banco BBVA 1438</t>
  </si>
  <si>
    <t>860003020</t>
  </si>
  <si>
    <t>BBVA</t>
  </si>
  <si>
    <t>12</t>
  </si>
  <si>
    <t>Inversiones en asociadas</t>
  </si>
  <si>
    <t>1245</t>
  </si>
  <si>
    <t>Derechos Fiduciarios</t>
  </si>
  <si>
    <t>124505</t>
  </si>
  <si>
    <t>Fideicomisos de inversión Moneda Nacional</t>
  </si>
  <si>
    <t>12450501</t>
  </si>
  <si>
    <t>Fideicomisos de inversión Alianza fiduciaria 80030015702</t>
  </si>
  <si>
    <t>900222911</t>
  </si>
  <si>
    <t>INSTRUMENTOS MÉDICOS DE COLOMBIA S.A.S</t>
  </si>
  <si>
    <t>12450502</t>
  </si>
  <si>
    <t xml:space="preserve">Fiducia Bancolombia </t>
  </si>
  <si>
    <t>900347399</t>
  </si>
  <si>
    <t>EXPORT HEALTH SAS</t>
  </si>
  <si>
    <t>901451874</t>
  </si>
  <si>
    <t>CABARCAS GROUP S.A.S.</t>
  </si>
  <si>
    <t>12450503</t>
  </si>
  <si>
    <t>Fondo Abierto Alianza 10030028092</t>
  </si>
  <si>
    <t>13</t>
  </si>
  <si>
    <t>Deudores comerciales y otras cuentas por cobrar</t>
  </si>
  <si>
    <t>1305</t>
  </si>
  <si>
    <t>Clientes nacionales</t>
  </si>
  <si>
    <t>130505</t>
  </si>
  <si>
    <t>13050502</t>
  </si>
  <si>
    <t>Clientes nacionales Daxa</t>
  </si>
  <si>
    <t>1325</t>
  </si>
  <si>
    <t>Cuentas por cobrar a socios y accionistas</t>
  </si>
  <si>
    <t>132510</t>
  </si>
  <si>
    <t>A accionistas</t>
  </si>
  <si>
    <t>13251001</t>
  </si>
  <si>
    <t>1330</t>
  </si>
  <si>
    <t>Anticipos y avances</t>
  </si>
  <si>
    <t>133005</t>
  </si>
  <si>
    <t>A proveedores</t>
  </si>
  <si>
    <t>13300501</t>
  </si>
  <si>
    <t>1355</t>
  </si>
  <si>
    <t>Anticipo de impuestos y contribuciones o</t>
  </si>
  <si>
    <t>135515</t>
  </si>
  <si>
    <t>Anticipo Retención en la fuente</t>
  </si>
  <si>
    <t>13551501</t>
  </si>
  <si>
    <t>Anticipo Retención en la fuente 2,5%</t>
  </si>
  <si>
    <t>13551503</t>
  </si>
  <si>
    <t>Anticipo Retención en la fuente 4%</t>
  </si>
  <si>
    <t>13551504</t>
  </si>
  <si>
    <t>Devolución Retención en la fuente 4%</t>
  </si>
  <si>
    <t>13551509</t>
  </si>
  <si>
    <t>Anticipo Retención en la fuente 11%</t>
  </si>
  <si>
    <t>13551515</t>
  </si>
  <si>
    <t>Anticipo Retención en la fuente 2%</t>
  </si>
  <si>
    <t>13551517</t>
  </si>
  <si>
    <t>Anticipo Retención en la fuente 1%</t>
  </si>
  <si>
    <t>135517</t>
  </si>
  <si>
    <t>Impuesto a las ventas retenido</t>
  </si>
  <si>
    <t>13551701</t>
  </si>
  <si>
    <t>Impuesto a las ventas retenido 15%</t>
  </si>
  <si>
    <t>13551702</t>
  </si>
  <si>
    <t>Devolución impuesto a las ventas retenido 15%</t>
  </si>
  <si>
    <t>135518</t>
  </si>
  <si>
    <t>Impuesto de industria y comercio retenido</t>
  </si>
  <si>
    <t>13551801</t>
  </si>
  <si>
    <t>Rete Ica 11,04</t>
  </si>
  <si>
    <t>13551803</t>
  </si>
  <si>
    <t>Rete Ica 13,08</t>
  </si>
  <si>
    <t>13551805</t>
  </si>
  <si>
    <t>Rete Ica 9,66</t>
  </si>
  <si>
    <t>13551806</t>
  </si>
  <si>
    <t>Devolución Rete Ica 9,66</t>
  </si>
  <si>
    <t>13551809</t>
  </si>
  <si>
    <t>Rete Ica 8.66</t>
  </si>
  <si>
    <t>13551813</t>
  </si>
  <si>
    <t>Rete Ica 4</t>
  </si>
  <si>
    <t>13551814</t>
  </si>
  <si>
    <t>Devolución Rete Ica 4</t>
  </si>
  <si>
    <t>135519</t>
  </si>
  <si>
    <t>Autorrenta 0.8</t>
  </si>
  <si>
    <t>13551901</t>
  </si>
  <si>
    <t>135520</t>
  </si>
  <si>
    <t>Saldo a favor renta</t>
  </si>
  <si>
    <t>13552002</t>
  </si>
  <si>
    <t>Saldo a favor de IVA</t>
  </si>
  <si>
    <t>13552003</t>
  </si>
  <si>
    <t>Retefuente</t>
  </si>
  <si>
    <t>1380</t>
  </si>
  <si>
    <t>Deudores varios</t>
  </si>
  <si>
    <t>138095</t>
  </si>
  <si>
    <t>Otros</t>
  </si>
  <si>
    <t>13809502</t>
  </si>
  <si>
    <t>Otros deudores</t>
  </si>
  <si>
    <t>14</t>
  </si>
  <si>
    <t>Inventarios</t>
  </si>
  <si>
    <t>1435</t>
  </si>
  <si>
    <t>Mercancías no fabricadas por la empresa</t>
  </si>
  <si>
    <t>143501</t>
  </si>
  <si>
    <t>Mercancías no fabricadas</t>
  </si>
  <si>
    <t>14350101</t>
  </si>
  <si>
    <t>BTL-Exilis System Serie No: 71500B005363-Deluxe</t>
  </si>
  <si>
    <t>901434038</t>
  </si>
  <si>
    <t>DAXA QUALITY SAS</t>
  </si>
  <si>
    <t>14350102</t>
  </si>
  <si>
    <t>BTL-Exilis System-Serie No: 71500B004917-vitti</t>
  </si>
  <si>
    <t>14350103</t>
  </si>
  <si>
    <t>SET-aplicadores de Emsculpt</t>
  </si>
  <si>
    <t>14350104</t>
  </si>
  <si>
    <t>BTL-Exilis System</t>
  </si>
  <si>
    <t>14350105</t>
  </si>
  <si>
    <t>PUNTA V PARA APLICADOR XP2</t>
  </si>
  <si>
    <t>14350106</t>
  </si>
  <si>
    <t>PUNTA V24 PARA APLICADOR XP2</t>
  </si>
  <si>
    <t>14350107</t>
  </si>
  <si>
    <t>PUNTA V30 PARA APLICADOR XP2</t>
  </si>
  <si>
    <t>14350108</t>
  </si>
  <si>
    <t>EMTONE</t>
  </si>
  <si>
    <t>14350109</t>
  </si>
  <si>
    <t>ELECTRODO PARCHE ADHESIVO PARA EMTONE</t>
  </si>
  <si>
    <t>14350110</t>
  </si>
  <si>
    <t>ELECTRODO PARCHE ADHESIVO PARA EXILIS</t>
  </si>
  <si>
    <t>14350111</t>
  </si>
  <si>
    <t>ELECTRODO PARCHE ADHESIVO PARA UNISON CAJA X 25</t>
  </si>
  <si>
    <t>14350112</t>
  </si>
  <si>
    <t>RF CREMA</t>
  </si>
  <si>
    <t>14350113</t>
  </si>
  <si>
    <t>ACEITE MINERAL PARA EXILIS</t>
  </si>
  <si>
    <t>14350114</t>
  </si>
  <si>
    <t>CABLE DE RETORNO</t>
  </si>
  <si>
    <t>14350115</t>
  </si>
  <si>
    <t>APLICADOR PARA X WAVE</t>
  </si>
  <si>
    <t>14350116</t>
  </si>
  <si>
    <t>PUNTA PARA APLICADOR CORPORAL EXILIS</t>
  </si>
  <si>
    <t>14350117</t>
  </si>
  <si>
    <t>CABLE CON ELECTRODO PARA APLICADOR EXILIS</t>
  </si>
  <si>
    <t>14350118</t>
  </si>
  <si>
    <t>CABLE AC PARA EQUIPO EXILI</t>
  </si>
  <si>
    <t>14350119</t>
  </si>
  <si>
    <t>BTL EMSELLA</t>
  </si>
  <si>
    <t>14350120</t>
  </si>
  <si>
    <t>KIT DE RESPUESTO UNISON</t>
  </si>
  <si>
    <t>14350121</t>
  </si>
  <si>
    <t>KIT DE REPUESTO PARA WAVE</t>
  </si>
  <si>
    <t>14350122</t>
  </si>
  <si>
    <t>BTL 6000 VANQUISH</t>
  </si>
  <si>
    <t>14350124</t>
  </si>
  <si>
    <t>EMTONE-CABARCA</t>
  </si>
  <si>
    <t>14350125</t>
  </si>
  <si>
    <t xml:space="preserve">BTL EMSCULPT </t>
  </si>
  <si>
    <t>14350126</t>
  </si>
  <si>
    <t>SET (2 UNID) APLICADOR EMSCULPT</t>
  </si>
  <si>
    <t>14350127</t>
  </si>
  <si>
    <t>APLICADOR EMSCULPT SMALL</t>
  </si>
  <si>
    <t>14350128</t>
  </si>
  <si>
    <t>BTL EMSCULPT NEO</t>
  </si>
  <si>
    <t>14350129</t>
  </si>
  <si>
    <t>APLICADOR SMALL EMSCULPT NEO</t>
  </si>
  <si>
    <t>14350130</t>
  </si>
  <si>
    <t>APLICADOR LARGE EMSCULPT NEO</t>
  </si>
  <si>
    <t>14350131</t>
  </si>
  <si>
    <t>BTL 6000 LYMPHASTIM 12 TOPLINE</t>
  </si>
  <si>
    <t>14350132</t>
  </si>
  <si>
    <t>PANTALON DE 24 CAMARAS GRIS</t>
  </si>
  <si>
    <t>14350133</t>
  </si>
  <si>
    <t>CARRO TRANSPORTE PARA BTL 5000/6000</t>
  </si>
  <si>
    <t>14350134</t>
  </si>
  <si>
    <t>Equipo exilis serial 71500B002214-CEO</t>
  </si>
  <si>
    <t>14350135</t>
  </si>
  <si>
    <t>LASER FRACCIONADO GALAXI EUROESTETIC</t>
  </si>
  <si>
    <t>14350136</t>
  </si>
  <si>
    <t>Equipo exilis serial 715B01470-Sabana-CEO</t>
  </si>
  <si>
    <t>14350138</t>
  </si>
  <si>
    <t xml:space="preserve">Exilis System Serial: 715--B-01701 </t>
  </si>
  <si>
    <t>14350139</t>
  </si>
  <si>
    <t>KIT DE REPUESTOS EMTONE</t>
  </si>
  <si>
    <t>14350140</t>
  </si>
  <si>
    <t>BTL - Exilis Ultra 360 SN71500B004917</t>
  </si>
  <si>
    <t>14350141</t>
  </si>
  <si>
    <t>CELLEC V</t>
  </si>
  <si>
    <t>14350143</t>
  </si>
  <si>
    <t>SILLA AUXILIAR (1023AB2)-MUEBLE ORGANIZADOR METALI</t>
  </si>
  <si>
    <t>1498</t>
  </si>
  <si>
    <t>149801</t>
  </si>
  <si>
    <t>14980101</t>
  </si>
  <si>
    <t>17</t>
  </si>
  <si>
    <t>Otros activos no financieros</t>
  </si>
  <si>
    <t>1710</t>
  </si>
  <si>
    <t>Diferidos</t>
  </si>
  <si>
    <t>171010</t>
  </si>
  <si>
    <t>17101001</t>
  </si>
  <si>
    <t>Gastos por anticipados</t>
  </si>
  <si>
    <t>2</t>
  </si>
  <si>
    <t>Pasivo</t>
  </si>
  <si>
    <t>21</t>
  </si>
  <si>
    <t>Pasivos financieros</t>
  </si>
  <si>
    <t>2105</t>
  </si>
  <si>
    <t>Bancos nacionales</t>
  </si>
  <si>
    <t>210510</t>
  </si>
  <si>
    <t>Pagares</t>
  </si>
  <si>
    <t>21051002</t>
  </si>
  <si>
    <t>Credito BANCOLOMBIA 3000009527-$ 80.000.000 - 4/16/2024</t>
  </si>
  <si>
    <t>21051003</t>
  </si>
  <si>
    <t>Crédito BANCOLOMBIA  1260098197- $ 117.500.000</t>
  </si>
  <si>
    <t>21051004</t>
  </si>
  <si>
    <t>Credito BANCOLOMBIA 901434038 $102.000.000</t>
  </si>
  <si>
    <t>21051005</t>
  </si>
  <si>
    <t>Credito BANCOLOMBIA 2810085761 $ 220.000.000</t>
  </si>
  <si>
    <t>21051006</t>
  </si>
  <si>
    <t>Credito Septiembre 2023</t>
  </si>
  <si>
    <t>21051007</t>
  </si>
  <si>
    <t>Credito Bancolombia octubre 2023-$ 70.000.000</t>
  </si>
  <si>
    <t>21051008</t>
  </si>
  <si>
    <t>Credito 2810086067 24/10/2023</t>
  </si>
  <si>
    <t>21051011</t>
  </si>
  <si>
    <t>Tarjeta de credito sempli</t>
  </si>
  <si>
    <t>900165105</t>
  </si>
  <si>
    <t>COLOMBIAHOSTING SAS</t>
  </si>
  <si>
    <t>830081427</t>
  </si>
  <si>
    <t>TAKAMI SA</t>
  </si>
  <si>
    <t>21051012</t>
  </si>
  <si>
    <t>Credito 3000009486 20-3-2024- 132683.000</t>
  </si>
  <si>
    <t>21051013</t>
  </si>
  <si>
    <t>Credito BANCOLOMBIA 16-4-24 No 41252662 $ 80.000.0</t>
  </si>
  <si>
    <t>21051014</t>
  </si>
  <si>
    <t>CREDITO 3000009583 05/07/2024</t>
  </si>
  <si>
    <t>22</t>
  </si>
  <si>
    <t>Proveedores</t>
  </si>
  <si>
    <t>2205</t>
  </si>
  <si>
    <t>Proveedores nacionales</t>
  </si>
  <si>
    <t>220505</t>
  </si>
  <si>
    <t>22050502</t>
  </si>
  <si>
    <t>Proveedores Daxa</t>
  </si>
  <si>
    <t>28613868</t>
  </si>
  <si>
    <t>ALICIA FERNANDA MURILLO GUZMAN</t>
  </si>
  <si>
    <t>23</t>
  </si>
  <si>
    <t>Acreedores comerciales y otras cuentas por pagar</t>
  </si>
  <si>
    <t>2335</t>
  </si>
  <si>
    <t>Costos y gastos por pagar</t>
  </si>
  <si>
    <t>233595</t>
  </si>
  <si>
    <t>23359501</t>
  </si>
  <si>
    <t>23359502</t>
  </si>
  <si>
    <t>Cuentas por pagar Daxa</t>
  </si>
  <si>
    <t>901330185</t>
  </si>
  <si>
    <t>OPENPAY COLOMBIA S.A.S</t>
  </si>
  <si>
    <t>2365</t>
  </si>
  <si>
    <t>Retenciones en la fuente</t>
  </si>
  <si>
    <t>236505</t>
  </si>
  <si>
    <t>Salarios y pagos laborales</t>
  </si>
  <si>
    <t>23650501</t>
  </si>
  <si>
    <t>236515</t>
  </si>
  <si>
    <t>Honorarios</t>
  </si>
  <si>
    <t>23651501</t>
  </si>
  <si>
    <t>23651505</t>
  </si>
  <si>
    <t>Retención 3,5%</t>
  </si>
  <si>
    <t>900934851</t>
  </si>
  <si>
    <t>GASTRONOMÍA ITALIANA EN COLOMBIA S.A.S</t>
  </si>
  <si>
    <t>236520</t>
  </si>
  <si>
    <t>Comisiones</t>
  </si>
  <si>
    <t>23652001</t>
  </si>
  <si>
    <t>236525</t>
  </si>
  <si>
    <t>Servicios</t>
  </si>
  <si>
    <t>23652503</t>
  </si>
  <si>
    <t>Servicios 4%</t>
  </si>
  <si>
    <t>236540</t>
  </si>
  <si>
    <t>Retención por compras</t>
  </si>
  <si>
    <t>23654001</t>
  </si>
  <si>
    <t>Retención por compras 2,5%</t>
  </si>
  <si>
    <t>236575</t>
  </si>
  <si>
    <t>Autorretenciones</t>
  </si>
  <si>
    <t>23657501</t>
  </si>
  <si>
    <t>236590</t>
  </si>
  <si>
    <t>Retefuente por pagar</t>
  </si>
  <si>
    <t>23659001</t>
  </si>
  <si>
    <t>817001773</t>
  </si>
  <si>
    <t>A.I.C.</t>
  </si>
  <si>
    <t>2367</t>
  </si>
  <si>
    <t>236701</t>
  </si>
  <si>
    <t>23670101</t>
  </si>
  <si>
    <t>2368</t>
  </si>
  <si>
    <t>236805</t>
  </si>
  <si>
    <t>Retención industria y comercio Ica</t>
  </si>
  <si>
    <t>23680501</t>
  </si>
  <si>
    <t>Reteica 11,04</t>
  </si>
  <si>
    <t>23680503</t>
  </si>
  <si>
    <t>Reteica 13,8</t>
  </si>
  <si>
    <t>23680509</t>
  </si>
  <si>
    <t>Reteica 8.66</t>
  </si>
  <si>
    <t>23680513</t>
  </si>
  <si>
    <t>Reteica 4,14</t>
  </si>
  <si>
    <t>2370</t>
  </si>
  <si>
    <t>Aportes a empresas promotoras de salud eps</t>
  </si>
  <si>
    <t>237005</t>
  </si>
  <si>
    <t>Aportes a entidades promotoras de salud eps</t>
  </si>
  <si>
    <t>23700501</t>
  </si>
  <si>
    <t>830003564</t>
  </si>
  <si>
    <t>Eps Famisanar</t>
  </si>
  <si>
    <t>800088702</t>
  </si>
  <si>
    <t>EPS Sura</t>
  </si>
  <si>
    <t>237006</t>
  </si>
  <si>
    <t>Aporte a administradoras de riesgos profesionales</t>
  </si>
  <si>
    <t>23700601</t>
  </si>
  <si>
    <t>Aporte a administradoras de riesgos profesionales, ARL</t>
  </si>
  <si>
    <t>860011153</t>
  </si>
  <si>
    <t>Positiva Compañía de Seguros</t>
  </si>
  <si>
    <t>237010</t>
  </si>
  <si>
    <t>Aportes al icbf Sena y cajas de compensación</t>
  </si>
  <si>
    <t>23701001</t>
  </si>
  <si>
    <t>2380</t>
  </si>
  <si>
    <t>Acreedores varios</t>
  </si>
  <si>
    <t>238030</t>
  </si>
  <si>
    <t>Fondos de cesantías y/o pensiones</t>
  </si>
  <si>
    <t>23803001</t>
  </si>
  <si>
    <t>24</t>
  </si>
  <si>
    <t>Pasivos por impuestos</t>
  </si>
  <si>
    <t>2404</t>
  </si>
  <si>
    <t>De renta y complementarios corriente</t>
  </si>
  <si>
    <t>240405</t>
  </si>
  <si>
    <t>Vigencia fiscal corriente</t>
  </si>
  <si>
    <t>24040501</t>
  </si>
  <si>
    <t>2408</t>
  </si>
  <si>
    <t>Impuesto sobre las ventas por pagar</t>
  </si>
  <si>
    <t>240806</t>
  </si>
  <si>
    <t>Iva generado</t>
  </si>
  <si>
    <t>24080601</t>
  </si>
  <si>
    <t>24080603</t>
  </si>
  <si>
    <t>Devolucion de Iva por ventas</t>
  </si>
  <si>
    <t>240810</t>
  </si>
  <si>
    <t>Iva descontable por compras</t>
  </si>
  <si>
    <t>24081001</t>
  </si>
  <si>
    <t>Iva descontable por compras 19%</t>
  </si>
  <si>
    <t>24081002</t>
  </si>
  <si>
    <t>Iva Devolución en compras 19%</t>
  </si>
  <si>
    <t>240815</t>
  </si>
  <si>
    <t>Descontable por servicios</t>
  </si>
  <si>
    <t>24081501</t>
  </si>
  <si>
    <t>860058760</t>
  </si>
  <si>
    <t>PARKING INTERNATIONAL S A S</t>
  </si>
  <si>
    <t>800150280</t>
  </si>
  <si>
    <t>FIDUCIARIA BANCOLOMBIA S A SOCIEDAD FIDUCIARIA</t>
  </si>
  <si>
    <t>240890</t>
  </si>
  <si>
    <t>Iva por pagar</t>
  </si>
  <si>
    <t>24089001</t>
  </si>
  <si>
    <t>2412</t>
  </si>
  <si>
    <t>Provision de ica</t>
  </si>
  <si>
    <t>241201</t>
  </si>
  <si>
    <t>Provsion Ica</t>
  </si>
  <si>
    <t>24120101</t>
  </si>
  <si>
    <t>Provision ica</t>
  </si>
  <si>
    <t>25</t>
  </si>
  <si>
    <t>Beneficios a empleados</t>
  </si>
  <si>
    <t>2505</t>
  </si>
  <si>
    <t>Salarios por pagar</t>
  </si>
  <si>
    <t>250505</t>
  </si>
  <si>
    <t>25050501</t>
  </si>
  <si>
    <t>2510</t>
  </si>
  <si>
    <t>Pasivo estimado para obligaciones laborales</t>
  </si>
  <si>
    <t>251010</t>
  </si>
  <si>
    <t>25101001</t>
  </si>
  <si>
    <t>Cesantías</t>
  </si>
  <si>
    <t>Subauxiliar</t>
  </si>
  <si>
    <t>2510100101</t>
  </si>
  <si>
    <t>25101002</t>
  </si>
  <si>
    <t>Intereses sobre cesantías</t>
  </si>
  <si>
    <t>2510100201</t>
  </si>
  <si>
    <t>25101004</t>
  </si>
  <si>
    <t>Prima de servicios</t>
  </si>
  <si>
    <t>2510100401</t>
  </si>
  <si>
    <t>2515</t>
  </si>
  <si>
    <t>251501</t>
  </si>
  <si>
    <t>2525</t>
  </si>
  <si>
    <t>Vacaciones consolidadas</t>
  </si>
  <si>
    <t>252501</t>
  </si>
  <si>
    <t>28</t>
  </si>
  <si>
    <t>Pasivos no financieros</t>
  </si>
  <si>
    <t>2805</t>
  </si>
  <si>
    <t>Anticipos y avances recibidos</t>
  </si>
  <si>
    <t>280505</t>
  </si>
  <si>
    <t>De clientes</t>
  </si>
  <si>
    <t>28050501</t>
  </si>
  <si>
    <t>3</t>
  </si>
  <si>
    <t>Patrimonio</t>
  </si>
  <si>
    <t>31</t>
  </si>
  <si>
    <t>Capital social</t>
  </si>
  <si>
    <t>3105</t>
  </si>
  <si>
    <t>Capital suscrito y pagado</t>
  </si>
  <si>
    <t>310505</t>
  </si>
  <si>
    <t>31050501</t>
  </si>
  <si>
    <t>Capital autorizado</t>
  </si>
  <si>
    <t>310510</t>
  </si>
  <si>
    <t>Capital por suscribir (db)</t>
  </si>
  <si>
    <t>31051001</t>
  </si>
  <si>
    <t>36</t>
  </si>
  <si>
    <t>Resultado del ejercicio</t>
  </si>
  <si>
    <t>3605</t>
  </si>
  <si>
    <t>Utilidad del ejercicio</t>
  </si>
  <si>
    <t>360505</t>
  </si>
  <si>
    <t>3610</t>
  </si>
  <si>
    <t>Perdida del ejercicio</t>
  </si>
  <si>
    <t>361005</t>
  </si>
  <si>
    <t>4</t>
  </si>
  <si>
    <t>Ingresos</t>
  </si>
  <si>
    <t>41</t>
  </si>
  <si>
    <t>Ingresos de actividades ordinarias</t>
  </si>
  <si>
    <t>4135</t>
  </si>
  <si>
    <t>Comercio al por mayor y al detal</t>
  </si>
  <si>
    <t>413501</t>
  </si>
  <si>
    <t>41350101</t>
  </si>
  <si>
    <t>4175</t>
  </si>
  <si>
    <t>Devolución en ventas</t>
  </si>
  <si>
    <t>417505</t>
  </si>
  <si>
    <t>Devolución</t>
  </si>
  <si>
    <t>41750502</t>
  </si>
  <si>
    <t>Devolución en servicios</t>
  </si>
  <si>
    <t>4180</t>
  </si>
  <si>
    <t>418001</t>
  </si>
  <si>
    <t>41800101</t>
  </si>
  <si>
    <t>41800103</t>
  </si>
  <si>
    <t>Arrendamientos equipos</t>
  </si>
  <si>
    <t>42</t>
  </si>
  <si>
    <t>Otros ingresos de actividades ordinarias</t>
  </si>
  <si>
    <t>4210</t>
  </si>
  <si>
    <t>Financieros</t>
  </si>
  <si>
    <t>421025</t>
  </si>
  <si>
    <t xml:space="preserve">Intereses financieros </t>
  </si>
  <si>
    <t>42102501</t>
  </si>
  <si>
    <t>421095</t>
  </si>
  <si>
    <t>Otros ingresos Financieros</t>
  </si>
  <si>
    <t>42109501</t>
  </si>
  <si>
    <t>Rendimientos Financieros</t>
  </si>
  <si>
    <t>4295</t>
  </si>
  <si>
    <t>Diversos</t>
  </si>
  <si>
    <t>429581</t>
  </si>
  <si>
    <t>Ajuste al peso</t>
  </si>
  <si>
    <t>42958101</t>
  </si>
  <si>
    <t>5</t>
  </si>
  <si>
    <t>Gasto</t>
  </si>
  <si>
    <t>51</t>
  </si>
  <si>
    <t>Administrativos</t>
  </si>
  <si>
    <t>5105</t>
  </si>
  <si>
    <t>Gastos de personal</t>
  </si>
  <si>
    <t>510506</t>
  </si>
  <si>
    <t>Sueldos</t>
  </si>
  <si>
    <t>51050601</t>
  </si>
  <si>
    <t>510518</t>
  </si>
  <si>
    <t>51051801</t>
  </si>
  <si>
    <t>510527</t>
  </si>
  <si>
    <t>Auxilio de transporte</t>
  </si>
  <si>
    <t>51052701</t>
  </si>
  <si>
    <t>510530</t>
  </si>
  <si>
    <t>51053001</t>
  </si>
  <si>
    <t>510533</t>
  </si>
  <si>
    <t>51053301</t>
  </si>
  <si>
    <t>510536</t>
  </si>
  <si>
    <t>51053601</t>
  </si>
  <si>
    <t>510539</t>
  </si>
  <si>
    <t>Vacaciones</t>
  </si>
  <si>
    <t>51053901</t>
  </si>
  <si>
    <t>510568</t>
  </si>
  <si>
    <t>Aportes a administradora de riesgos laborales</t>
  </si>
  <si>
    <t>51056801</t>
  </si>
  <si>
    <t>510570</t>
  </si>
  <si>
    <t>Aporte a fondos de pensión y/o cesantías</t>
  </si>
  <si>
    <t>51057001</t>
  </si>
  <si>
    <t>510572</t>
  </si>
  <si>
    <t>Aportes cajas de compensación familiar</t>
  </si>
  <si>
    <t>51057201</t>
  </si>
  <si>
    <t>5110</t>
  </si>
  <si>
    <t>511010</t>
  </si>
  <si>
    <t>Revisoría fiscal</t>
  </si>
  <si>
    <t>51101001</t>
  </si>
  <si>
    <t>Honorarios - Revisoría fiscal</t>
  </si>
  <si>
    <t>5115</t>
  </si>
  <si>
    <t>Impuestos</t>
  </si>
  <si>
    <t>511515</t>
  </si>
  <si>
    <t>A la propiedad raíz</t>
  </si>
  <si>
    <t>51151501</t>
  </si>
  <si>
    <t>5120</t>
  </si>
  <si>
    <t>Arrendamientos</t>
  </si>
  <si>
    <t>512010</t>
  </si>
  <si>
    <t>Construcciones y edificaciones</t>
  </si>
  <si>
    <t>51201001</t>
  </si>
  <si>
    <t>Arrendamientos - Construcciones y edificaciones</t>
  </si>
  <si>
    <t>5135</t>
  </si>
  <si>
    <t>513520</t>
  </si>
  <si>
    <t>Procesamiento electrónico de datos</t>
  </si>
  <si>
    <t>51352001</t>
  </si>
  <si>
    <t>Servicios - Procesamiento electrónico de datos</t>
  </si>
  <si>
    <t>513560</t>
  </si>
  <si>
    <t>Pagina Web</t>
  </si>
  <si>
    <t>51356001</t>
  </si>
  <si>
    <t>5140</t>
  </si>
  <si>
    <t>Gastos legales</t>
  </si>
  <si>
    <t>514010</t>
  </si>
  <si>
    <t>Registro mercantil</t>
  </si>
  <si>
    <t>51401001</t>
  </si>
  <si>
    <t>5195</t>
  </si>
  <si>
    <t>519505</t>
  </si>
  <si>
    <t>51950501</t>
  </si>
  <si>
    <t xml:space="preserve">Comisiones </t>
  </si>
  <si>
    <t>519545</t>
  </si>
  <si>
    <t>Taxis y buses</t>
  </si>
  <si>
    <t>51954501</t>
  </si>
  <si>
    <t>519560</t>
  </si>
  <si>
    <t>Casino y restaurante</t>
  </si>
  <si>
    <t>51956001</t>
  </si>
  <si>
    <t>519595</t>
  </si>
  <si>
    <t>51959501</t>
  </si>
  <si>
    <t>52</t>
  </si>
  <si>
    <t>Ventas</t>
  </si>
  <si>
    <t>5295</t>
  </si>
  <si>
    <t>529505</t>
  </si>
  <si>
    <t>52950501</t>
  </si>
  <si>
    <t>53</t>
  </si>
  <si>
    <t>Otros gastos de actividades ordinarias</t>
  </si>
  <si>
    <t>5305</t>
  </si>
  <si>
    <t>530505</t>
  </si>
  <si>
    <t>Gastos bancarios</t>
  </si>
  <si>
    <t>53050501</t>
  </si>
  <si>
    <t>53050502</t>
  </si>
  <si>
    <t xml:space="preserve">GRAVAMEN DE MOVIMIENTO FINANCIERO </t>
  </si>
  <si>
    <t>530515</t>
  </si>
  <si>
    <t>53051501</t>
  </si>
  <si>
    <t>530520</t>
  </si>
  <si>
    <t>Intereses</t>
  </si>
  <si>
    <t>53052001</t>
  </si>
  <si>
    <t>Intereses corrientes</t>
  </si>
  <si>
    <t>5395</t>
  </si>
  <si>
    <t>Gastos diversos</t>
  </si>
  <si>
    <t>539581</t>
  </si>
  <si>
    <t>53958101</t>
  </si>
  <si>
    <t>539595</t>
  </si>
  <si>
    <t>53959502</t>
  </si>
  <si>
    <t>Intereses de mora</t>
  </si>
  <si>
    <t>54</t>
  </si>
  <si>
    <t>Impuesto de renta y complementarios</t>
  </si>
  <si>
    <t>5405</t>
  </si>
  <si>
    <t>540505</t>
  </si>
  <si>
    <t>54050501</t>
  </si>
  <si>
    <t>6</t>
  </si>
  <si>
    <t>Costos de venta</t>
  </si>
  <si>
    <t>61</t>
  </si>
  <si>
    <t>Costo de ventas y de prestación de servicios</t>
  </si>
  <si>
    <t>6135</t>
  </si>
  <si>
    <t>Comercio al por mayor y al por menor</t>
  </si>
  <si>
    <t>613505</t>
  </si>
  <si>
    <t>61350501</t>
  </si>
  <si>
    <t>COSTO DE VENTA-ACEITE MINERAL PARA EXILIS</t>
  </si>
  <si>
    <t>61350503</t>
  </si>
  <si>
    <t>COSTO-RF CREMA</t>
  </si>
  <si>
    <t>61350510</t>
  </si>
  <si>
    <t>61350512</t>
  </si>
  <si>
    <t>6180</t>
  </si>
  <si>
    <t>618001</t>
  </si>
  <si>
    <t>61800101</t>
  </si>
  <si>
    <t>Total general</t>
  </si>
  <si>
    <t>Procesado en: Octubre 23 2024 10:06</t>
  </si>
  <si>
    <t>1735590899.49</t>
  </si>
  <si>
    <t>211112486.98</t>
  </si>
  <si>
    <t>250492521.61</t>
  </si>
  <si>
    <t>1696210864.86</t>
  </si>
  <si>
    <t>2258625.93</t>
  </si>
  <si>
    <t>39325979.41</t>
  </si>
  <si>
    <t>25423356.42</t>
  </si>
  <si>
    <t>16161248.92</t>
  </si>
  <si>
    <t>1342771777.42</t>
  </si>
  <si>
    <t>269.63</t>
  </si>
  <si>
    <t>11706453.42</t>
  </si>
  <si>
    <t>1331065593.63</t>
  </si>
  <si>
    <t>80752949.85</t>
  </si>
  <si>
    <t>87124390.85</t>
  </si>
  <si>
    <t>-2931231.8</t>
  </si>
  <si>
    <t>-129385416.84</t>
  </si>
  <si>
    <t>87883312.78</t>
  </si>
  <si>
    <t>15852387.78</t>
  </si>
  <si>
    <t>103735700.56</t>
  </si>
  <si>
    <t>312636004.33</t>
  </si>
  <si>
    <t>85488562.52</t>
  </si>
  <si>
    <t>166554515.62</t>
  </si>
  <si>
    <t>174454515.62</t>
  </si>
  <si>
    <t>27177032.38</t>
  </si>
  <si>
    <t>47117877.7</t>
  </si>
  <si>
    <t>24861449.5</t>
  </si>
  <si>
    <t>28621849.5</t>
  </si>
  <si>
    <t>124681529.47</t>
  </si>
  <si>
    <t>1305672.5</t>
  </si>
  <si>
    <t>122327.5</t>
  </si>
  <si>
    <t>127196250.82</t>
  </si>
  <si>
    <t>52413772.25</t>
  </si>
  <si>
    <t>136325334.07</t>
  </si>
  <si>
    <t>102820425.54</t>
  </si>
  <si>
    <t>299219.93</t>
  </si>
  <si>
    <t>103119645.47</t>
  </si>
  <si>
    <t>-43945999.85</t>
  </si>
  <si>
    <t>-797247429.41</t>
  </si>
  <si>
    <t>5372.46</t>
  </si>
  <si>
    <t>-837724396.95</t>
  </si>
  <si>
    <t>-160661543.83</t>
  </si>
  <si>
    <t>-163463892.83</t>
  </si>
  <si>
    <t>236155167.54</t>
  </si>
  <si>
    <t>243963571.54</t>
  </si>
  <si>
    <t>9422668.75</t>
  </si>
  <si>
    <t>178750826.75</t>
  </si>
  <si>
    <t>121472482.33</t>
  </si>
  <si>
    <t>10500000.7</t>
  </si>
  <si>
    <t>131972483.03</t>
  </si>
  <si>
    <t>162661343.96</t>
  </si>
  <si>
    <t>9021634.16</t>
  </si>
  <si>
    <t>171682978.12</t>
  </si>
  <si>
    <t>58352226.45</t>
  </si>
  <si>
    <t>54195315.09</t>
  </si>
  <si>
    <t>9.25</t>
  </si>
  <si>
    <t>54195324.34</t>
  </si>
  <si>
    <t>654793520.41</t>
  </si>
  <si>
    <t>114482735.32</t>
  </si>
  <si>
    <t>128828042.19</t>
  </si>
  <si>
    <t>640448213.54</t>
  </si>
  <si>
    <t>194419599.25</t>
  </si>
  <si>
    <t>91435042.19</t>
  </si>
  <si>
    <t>214954397.06</t>
  </si>
  <si>
    <t>23180175.12</t>
  </si>
  <si>
    <t>9596645.12</t>
  </si>
  <si>
    <t>7808403.27</t>
  </si>
  <si>
    <t>26389824.29</t>
  </si>
  <si>
    <t>14243631.3</t>
  </si>
  <si>
    <t>30133454.89</t>
  </si>
  <si>
    <t>18043268.32</t>
  </si>
  <si>
    <t>15125717.06</t>
  </si>
  <si>
    <t>7891392.04</t>
  </si>
  <si>
    <t>15117109.1</t>
  </si>
  <si>
    <t>10882962.3</t>
  </si>
  <si>
    <t>5441481.15</t>
  </si>
  <si>
    <t>28158994.02</t>
  </si>
  <si>
    <t>12876747.9</t>
  </si>
  <si>
    <t>15852550.39</t>
  </si>
  <si>
    <t>25183191.53</t>
  </si>
  <si>
    <t>50127011.07</t>
  </si>
  <si>
    <t>22111335.01</t>
  </si>
  <si>
    <t>72238346.08</t>
  </si>
  <si>
    <t>16101.77</t>
  </si>
  <si>
    <t>6371440.77</t>
  </si>
  <si>
    <t>22495545.3</t>
  </si>
  <si>
    <t>11247772.65</t>
  </si>
  <si>
    <t>33743317.95</t>
  </si>
  <si>
    <t>348233.5</t>
  </si>
  <si>
    <t>37514605.66</t>
  </si>
  <si>
    <t>2512895.32</t>
  </si>
  <si>
    <t>9384500.98</t>
  </si>
  <si>
    <t>226459.91</t>
  </si>
  <si>
    <t>-799993.9</t>
  </si>
  <si>
    <t>47979.25</t>
  </si>
  <si>
    <t>81771.89</t>
  </si>
  <si>
    <t>-14803518.18</t>
  </si>
  <si>
    <t>5703922.56</t>
  </si>
  <si>
    <t>1883342.6</t>
  </si>
  <si>
    <t>2700279.2</t>
  </si>
  <si>
    <t>2371428.6</t>
  </si>
  <si>
    <t>846545.22</t>
  </si>
  <si>
    <t>595238.08</t>
  </si>
  <si>
    <t>-595238.08</t>
  </si>
  <si>
    <t>-70064.5</t>
  </si>
  <si>
    <t>96071.08</t>
  </si>
  <si>
    <t>163821.09</t>
  </si>
  <si>
    <t>2244665.97</t>
  </si>
  <si>
    <t>193561.29</t>
  </si>
  <si>
    <t>-31325917.64</t>
  </si>
  <si>
    <t>-35889917.64</t>
  </si>
  <si>
    <t>1175923.92</t>
  </si>
  <si>
    <t>2516027.88</t>
  </si>
  <si>
    <t>1089736.08</t>
  </si>
  <si>
    <t>3536153.95</t>
  </si>
  <si>
    <t>191596.64</t>
  </si>
  <si>
    <t>3727750.59</t>
  </si>
  <si>
    <t>3606004.25</t>
  </si>
  <si>
    <t>231206.25</t>
  </si>
  <si>
    <t>3837210.5</t>
  </si>
  <si>
    <t>2587078.09</t>
  </si>
  <si>
    <t>3129629.09</t>
  </si>
  <si>
    <t>2125525.4</t>
  </si>
  <si>
    <t>156337.55</t>
  </si>
  <si>
    <t>2281862.95</t>
  </si>
  <si>
    <t>1529254.55</t>
  </si>
  <si>
    <t>177226.88</t>
  </si>
  <si>
    <t>1706481.43</t>
  </si>
  <si>
    <t>601134.46</t>
  </si>
  <si>
    <t>349499.35</t>
  </si>
  <si>
    <t>950633.81</t>
  </si>
  <si>
    <t>5303240.03</t>
  </si>
  <si>
    <t>221365.97</t>
  </si>
  <si>
    <t>1389249.37</t>
  </si>
  <si>
    <t>3742242.63</t>
  </si>
  <si>
    <t>193632.96</t>
  </si>
  <si>
    <t>3935875.59</t>
  </si>
  <si>
    <t>1514811.1</t>
  </si>
  <si>
    <t>133518.91</t>
  </si>
  <si>
    <t>1648330.01</t>
  </si>
  <si>
    <t>2831701.9</t>
  </si>
  <si>
    <t>315959.81</t>
  </si>
  <si>
    <t>3147661.71</t>
  </si>
  <si>
    <t>2220174.19</t>
  </si>
  <si>
    <t>-766386.56</t>
  </si>
  <si>
    <t>-462412.5</t>
  </si>
  <si>
    <t>-991375.13</t>
  </si>
  <si>
    <t>-71848.74</t>
  </si>
  <si>
    <t>71848.74</t>
  </si>
  <si>
    <t>-0.7</t>
  </si>
  <si>
    <t>-1891902.66</t>
  </si>
  <si>
    <t>1106435.19</t>
  </si>
  <si>
    <t>397973.8</t>
  </si>
  <si>
    <t>204440.67</t>
  </si>
  <si>
    <t>-223061.7</t>
  </si>
  <si>
    <t>188421.7</t>
  </si>
  <si>
    <t>18236.7</t>
  </si>
  <si>
    <t>-18236.7</t>
  </si>
  <si>
    <t>26.74</t>
  </si>
  <si>
    <t>-3411454.64</t>
  </si>
  <si>
    <t>1042040.06</t>
  </si>
  <si>
    <t>502761.56</t>
  </si>
  <si>
    <t>582619.98</t>
  </si>
  <si>
    <t>27554.6</t>
  </si>
  <si>
    <t>11134.46</t>
  </si>
  <si>
    <t>19.24</t>
  </si>
  <si>
    <t>35043479.78</t>
  </si>
  <si>
    <t>8964479.78</t>
  </si>
  <si>
    <t>31789979.78</t>
  </si>
  <si>
    <t>5710979.78</t>
  </si>
  <si>
    <t>912453613.33</t>
  </si>
  <si>
    <t>865498290.33</t>
  </si>
  <si>
    <t>-23300000.36</t>
  </si>
  <si>
    <t>-221495094.85</t>
  </si>
  <si>
    <t>-226712181.85</t>
  </si>
  <si>
    <t>-3800036.22</t>
  </si>
  <si>
    <t>-53872312.22</t>
  </si>
  <si>
    <t>-60875823.22</t>
  </si>
  <si>
    <t>94537815.13</t>
  </si>
  <si>
    <t>36929411.85</t>
  </si>
  <si>
    <t>-1280669294.09</t>
  </si>
  <si>
    <t>99071458.5</t>
  </si>
  <si>
    <t>40667671.22</t>
  </si>
  <si>
    <t>-1222265506.81</t>
  </si>
  <si>
    <t>-704834072.52</t>
  </si>
  <si>
    <t>44425978.48</t>
  </si>
  <si>
    <t>-660408094.04</t>
  </si>
  <si>
    <t>15509302.48</t>
  </si>
  <si>
    <t>-17824035.52</t>
  </si>
  <si>
    <t>8814324.76</t>
  </si>
  <si>
    <t>14481002.76</t>
  </si>
  <si>
    <t>-104348541.76</t>
  </si>
  <si>
    <t>-95181875.76</t>
  </si>
  <si>
    <t>538307.48</t>
  </si>
  <si>
    <t>-529992479.74</t>
  </si>
  <si>
    <t>-535811579.74</t>
  </si>
  <si>
    <t>-0.93</t>
  </si>
  <si>
    <t>-441043727.81</t>
  </si>
  <si>
    <t>-446862827.81</t>
  </si>
  <si>
    <t>1215103.32</t>
  </si>
  <si>
    <t>-220274.68</t>
  </si>
  <si>
    <t>-120336.33</t>
  </si>
  <si>
    <t>-1555714.33</t>
  </si>
  <si>
    <t>0.47</t>
  </si>
  <si>
    <t>-27999.3</t>
  </si>
  <si>
    <t>-44327.5</t>
  </si>
  <si>
    <t>-51705.5</t>
  </si>
  <si>
    <t>2.85</t>
  </si>
  <si>
    <t>56158.5</t>
  </si>
  <si>
    <t>-56158.5</t>
  </si>
  <si>
    <t>20745946.65</t>
  </si>
  <si>
    <t>-18520946.65</t>
  </si>
  <si>
    <t>-26.74</t>
  </si>
  <si>
    <t>3411454.64</t>
  </si>
  <si>
    <t>-1042040.06</t>
  </si>
  <si>
    <t>-502761.56</t>
  </si>
  <si>
    <t>-582619.98</t>
  </si>
  <si>
    <t>-11134.46</t>
  </si>
  <si>
    <t>-27554.6</t>
  </si>
  <si>
    <t>-19.24</t>
  </si>
  <si>
    <t>-2486390.15</t>
  </si>
  <si>
    <t>1660636.8</t>
  </si>
  <si>
    <t>10919628.24</t>
  </si>
  <si>
    <t>-8276431.44</t>
  </si>
  <si>
    <t>2190.13</t>
  </si>
  <si>
    <t>-2190.13</t>
  </si>
  <si>
    <t>139959.33</t>
  </si>
  <si>
    <t>-4863.33</t>
  </si>
  <si>
    <t>39852.47</t>
  </si>
  <si>
    <t>-39852.47</t>
  </si>
  <si>
    <t>-29030784.78</t>
  </si>
  <si>
    <t>44275677.02</t>
  </si>
  <si>
    <t>25107891.22</t>
  </si>
  <si>
    <t>-9862998.98</t>
  </si>
  <si>
    <t>-7512242.66</t>
  </si>
  <si>
    <t>1476027.78</t>
  </si>
  <si>
    <t>-5671270.44</t>
  </si>
  <si>
    <t>-16899194.73</t>
  </si>
  <si>
    <t>38326677.02</t>
  </si>
  <si>
    <t>22530447.44</t>
  </si>
  <si>
    <t>-1102965.15</t>
  </si>
  <si>
    <t>-17566322.13</t>
  </si>
  <si>
    <t>34318957.45</t>
  </si>
  <si>
    <t>16752635.32</t>
  </si>
  <si>
    <t>392280116.86</t>
  </si>
  <si>
    <t>426599074.31</t>
  </si>
  <si>
    <t>-39222413.56</t>
  </si>
  <si>
    <t>-28964177.6</t>
  </si>
  <si>
    <t>-38011594.45</t>
  </si>
  <si>
    <t>-42168715.26</t>
  </si>
  <si>
    <t>1277310.91</t>
  </si>
  <si>
    <t>-43446026.17</t>
  </si>
  <si>
    <t>-18979857.37</t>
  </si>
  <si>
    <t>2106398.71</t>
  </si>
  <si>
    <t>-21086256.08</t>
  </si>
  <si>
    <t>-70307979.95</t>
  </si>
  <si>
    <t>3617007.01</t>
  </si>
  <si>
    <t>-73924986.96</t>
  </si>
  <si>
    <t>-13235268.53</t>
  </si>
  <si>
    <t>1042250.32</t>
  </si>
  <si>
    <t>-14277518.85</t>
  </si>
  <si>
    <t>-17763092.85</t>
  </si>
  <si>
    <t>1181512.53</t>
  </si>
  <si>
    <t>-18944605.38</t>
  </si>
  <si>
    <t>-25561981.25</t>
  </si>
  <si>
    <t>2329995.65</t>
  </si>
  <si>
    <t>-27891976.9</t>
  </si>
  <si>
    <t>-31016219.51</t>
  </si>
  <si>
    <t>1475773.13</t>
  </si>
  <si>
    <t>-32491992.64</t>
  </si>
  <si>
    <t>-9946460.48</t>
  </si>
  <si>
    <t>-29003752.51</t>
  </si>
  <si>
    <t>-30294638.51</t>
  </si>
  <si>
    <t>-11296218.78</t>
  </si>
  <si>
    <t>890126.06</t>
  </si>
  <si>
    <t>-12186344.84</t>
  </si>
  <si>
    <t>-1286381.89</t>
  </si>
  <si>
    <t>-12118902.45</t>
  </si>
  <si>
    <t>144112.53</t>
  </si>
  <si>
    <t>11974789.92</t>
  </si>
  <si>
    <t>0.4</t>
  </si>
  <si>
    <t>-388962387.23</t>
  </si>
  <si>
    <t>-389891487.23</t>
  </si>
  <si>
    <t>330453531.72</t>
  </si>
  <si>
    <t>331382631.72</t>
  </si>
  <si>
    <t>-4021089.8</t>
  </si>
  <si>
    <t>34247899.71</t>
  </si>
  <si>
    <t>2843685.12</t>
  </si>
  <si>
    <t>3930712.12</t>
  </si>
  <si>
    <t>549517.67</t>
  </si>
  <si>
    <t>15234.2</t>
  </si>
  <si>
    <t>564751.87</t>
  </si>
  <si>
    <t>1217.5</t>
  </si>
  <si>
    <t>-17971488.47</t>
  </si>
  <si>
    <t>1834812.12</t>
  </si>
  <si>
    <t>-19806300.59</t>
  </si>
  <si>
    <t>79831.92</t>
  </si>
  <si>
    <t>3024831.92</t>
  </si>
  <si>
    <t>468011.8</t>
  </si>
  <si>
    <t>7077.5</t>
  </si>
  <si>
    <t>8255.5</t>
  </si>
  <si>
    <t>234934.45</t>
  </si>
  <si>
    <t>-683065.55</t>
  </si>
  <si>
    <t>-4619347.39</t>
  </si>
  <si>
    <t>-3088763.39</t>
  </si>
  <si>
    <t>-18955347.39</t>
  </si>
  <si>
    <t>-20056763.39</t>
  </si>
  <si>
    <t>-6735366.37</t>
  </si>
  <si>
    <t>-4722114.02</t>
  </si>
  <si>
    <t>-447822.35</t>
  </si>
  <si>
    <t>-382090709.42</t>
  </si>
  <si>
    <t>-23090709.42</t>
  </si>
  <si>
    <t>-23090128.25</t>
  </si>
  <si>
    <t>-581.17</t>
  </si>
  <si>
    <t>-509902298.9</t>
  </si>
  <si>
    <t>91784972.23</t>
  </si>
  <si>
    <t>-601687271.13</t>
  </si>
  <si>
    <t>-500439853.98</t>
  </si>
  <si>
    <t>-588611620.98</t>
  </si>
  <si>
    <t>-499989853.98</t>
  </si>
  <si>
    <t>-588161620.98</t>
  </si>
  <si>
    <t>-134489249.98</t>
  </si>
  <si>
    <t>-153526128.98</t>
  </si>
  <si>
    <t>-9462444.92</t>
  </si>
  <si>
    <t>3613205.23</t>
  </si>
  <si>
    <t>-13075650.15</t>
  </si>
  <si>
    <t>-9460781.1</t>
  </si>
  <si>
    <t>3613204.27</t>
  </si>
  <si>
    <t>-13073985.37</t>
  </si>
  <si>
    <t>-8412709.88</t>
  </si>
  <si>
    <t>-12025914.15</t>
  </si>
  <si>
    <t>5642.09</t>
  </si>
  <si>
    <t>-26343.09</t>
  </si>
  <si>
    <t>-269597.88</t>
  </si>
  <si>
    <t>299229.18</t>
  </si>
  <si>
    <t>-568827.06</t>
  </si>
  <si>
    <t>-1048071.22</t>
  </si>
  <si>
    <t>-8969.28</t>
  </si>
  <si>
    <t>-1039099.94</t>
  </si>
  <si>
    <t>-1663.82</t>
  </si>
  <si>
    <t>0.96</t>
  </si>
  <si>
    <t>-1664.78</t>
  </si>
  <si>
    <t>0.73</t>
  </si>
  <si>
    <t>-0.73</t>
  </si>
  <si>
    <t>-0.5</t>
  </si>
  <si>
    <t>-0.47</t>
  </si>
  <si>
    <t>-0.23</t>
  </si>
  <si>
    <t>0.23</t>
  </si>
  <si>
    <t>-0.46</t>
  </si>
  <si>
    <t>-412.62</t>
  </si>
  <si>
    <t>139537909.92</t>
  </si>
  <si>
    <t>20919537.58</t>
  </si>
  <si>
    <t>160453806.5</t>
  </si>
  <si>
    <t>57316599.92</t>
  </si>
  <si>
    <t>7948192.58</t>
  </si>
  <si>
    <t>65264792.5</t>
  </si>
  <si>
    <t>57114763.41</t>
  </si>
  <si>
    <t>7915572.74</t>
  </si>
  <si>
    <t>65030336.15</t>
  </si>
  <si>
    <t>9507180.14</t>
  </si>
  <si>
    <t>342937.22</t>
  </si>
  <si>
    <t>9850117.36</t>
  </si>
  <si>
    <t>274128.97</t>
  </si>
  <si>
    <t>3061149.67</t>
  </si>
  <si>
    <t>101288.22</t>
  </si>
  <si>
    <t>3162437.89</t>
  </si>
  <si>
    <t>12370.5</t>
  </si>
  <si>
    <t>323978.5</t>
  </si>
  <si>
    <t>334958.5</t>
  </si>
  <si>
    <t>36010.5</t>
  </si>
  <si>
    <t>47283604.77</t>
  </si>
  <si>
    <t>7561655.52</t>
  </si>
  <si>
    <t>54845260.29</t>
  </si>
  <si>
    <t>51960617.52</t>
  </si>
  <si>
    <t>3042.77</t>
  </si>
  <si>
    <t>201836.51</t>
  </si>
  <si>
    <t>32619.84</t>
  </si>
  <si>
    <t>234456.35</t>
  </si>
  <si>
    <t>3349.76</t>
  </si>
  <si>
    <t>162.84</t>
  </si>
  <si>
    <t>3512.6</t>
  </si>
  <si>
    <t>3348.5</t>
  </si>
  <si>
    <t>0.08</t>
  </si>
  <si>
    <t>0.7</t>
  </si>
  <si>
    <t>0.16</t>
  </si>
  <si>
    <t>0.15</t>
  </si>
  <si>
    <t>0.3</t>
  </si>
  <si>
    <t>0.25</t>
  </si>
  <si>
    <t>162.61</t>
  </si>
  <si>
    <t>162.86</t>
  </si>
  <si>
    <t>198486.75</t>
  </si>
  <si>
    <t>230943.75</t>
  </si>
  <si>
    <t>1786.75</t>
  </si>
  <si>
    <t>382948806.06</t>
  </si>
  <si>
    <t>EXEC [dbo].[BalanceGeneralInsertar] @Nivel =</t>
  </si>
  <si>
    <t>@Transaccional =</t>
  </si>
  <si>
    <t>@CodigoCuentaContable =</t>
  </si>
  <si>
    <t>@Identificacion =</t>
  </si>
  <si>
    <t>@Sucursal =</t>
  </si>
  <si>
    <t>@NombreTercero =</t>
  </si>
  <si>
    <t xml:space="preserve">@SaldoInicial = </t>
  </si>
  <si>
    <t xml:space="preserve">@MovimientoDebito = </t>
  </si>
  <si>
    <t>@MovimientoCredito =</t>
  </si>
  <si>
    <t xml:space="preserve">@SaldoFinal = </t>
  </si>
  <si>
    <t>@Fecha =</t>
  </si>
  <si>
    <t xml:space="preserve">@IdentificacionCliente = </t>
  </si>
  <si>
    <t>'</t>
  </si>
  <si>
    <t>,</t>
  </si>
  <si>
    <t xml:space="preserve"> @NombreCuentaContable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</si>
</sst>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/>
    </xf>
    <xf numFmtId="0" fontId="5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643"/>
  <sheetViews>
    <sheetView tabSelected="1" topLeftCell="K388" workbookViewId="0">
      <selection activeCell="AA401" sqref="AA401:AA639"/>
    </sheetView>
  </sheetViews>
  <sheetFormatPr baseColWidth="10" defaultColWidth="9.140625" defaultRowHeight="15" x14ac:dyDescent="0.25"/>
  <cols>
    <col min="1" max="4" width="16.42578125" customWidth="1"/>
    <col min="5" max="5" width="26.42578125" customWidth="1"/>
    <col min="6" max="7" width="11.140625" customWidth="1"/>
    <col min="8" max="11" width="30.7109375" bestFit="1" customWidth="1"/>
    <col min="27" max="27" width="9.140625" style="12"/>
  </cols>
  <sheetData>
    <row r="1" spans="1:28" collapsed="1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</row>
    <row r="2" spans="1:28" ht="30" customHeight="1" collapsed="1" x14ac:dyDescent="0.25">
      <c r="A2" s="9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28" collapsed="1" x14ac:dyDescent="0.25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28" collapsed="1" x14ac:dyDescent="0.25">
      <c r="A4" s="7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28" collapsed="1" x14ac:dyDescent="0.25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28" collapsed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</row>
    <row r="7" spans="1:28" collapsed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28" collapsed="1" x14ac:dyDescent="0.25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</row>
    <row r="9" spans="1:28" x14ac:dyDescent="0.25">
      <c r="A9" s="2" t="s">
        <v>15</v>
      </c>
      <c r="B9" s="2" t="s">
        <v>16</v>
      </c>
      <c r="C9" s="2" t="s">
        <v>17</v>
      </c>
      <c r="D9" s="2" t="s">
        <v>18</v>
      </c>
      <c r="E9" s="2"/>
      <c r="F9" s="2"/>
      <c r="G9" s="2"/>
      <c r="H9" s="3" t="s">
        <v>678</v>
      </c>
      <c r="I9" s="3" t="s">
        <v>679</v>
      </c>
      <c r="J9" s="3" t="s">
        <v>680</v>
      </c>
      <c r="K9" s="3" t="s">
        <v>681</v>
      </c>
      <c r="L9" t="s">
        <v>1071</v>
      </c>
      <c r="M9" t="s">
        <v>1072</v>
      </c>
      <c r="N9" t="s">
        <v>1073</v>
      </c>
      <c r="O9" t="s">
        <v>1074</v>
      </c>
      <c r="P9" t="s">
        <v>1075</v>
      </c>
      <c r="Q9" t="s">
        <v>1076</v>
      </c>
      <c r="R9" t="s">
        <v>1077</v>
      </c>
      <c r="S9" t="s">
        <v>1078</v>
      </c>
      <c r="T9" t="s">
        <v>1079</v>
      </c>
      <c r="U9" t="s">
        <v>1080</v>
      </c>
      <c r="V9" t="s">
        <v>1081</v>
      </c>
      <c r="W9" t="s">
        <v>1082</v>
      </c>
      <c r="X9">
        <v>20240630</v>
      </c>
      <c r="Y9" t="s">
        <v>1083</v>
      </c>
      <c r="Z9" t="s">
        <v>1084</v>
      </c>
      <c r="AA9" s="11" t="str">
        <f>_xlfn.CONCAT(L9,Y9,A9,Y9,Z9,M9,Y9,B9,Y9,Z9,N9,Y9,C9,Y9,Z9,AB9,Y9,D9,Y9,Z9,O9,Y9,E9,Y9,Z9,P9,Y9,F9,Y9,Z9,Q9,Y9,G9,Y9,Z9,R9,H9,Z9,S9,I9,Z9,T9,J9,Z9,U9,J9,Z9,V9,Y9,X9,Y9,Z9,W9,Y9,"901434038",Y9,";")</f>
        <v>EXEC [dbo].[BalanceGeneralInsertar] @Nivel ='Clase',@Transaccional ='No',@CodigoCuentaContable ='1', @NombreCuentaContable ='Activo',@Identificacion ='',@Sucursal ='',@NombreTercero ='',@SaldoInicial = 1735590899.49,@MovimientoDebito = 211112486.98,@MovimientoCredito =250492521.61,@SaldoFinal = 250492521.61,@Fecha ='20240630',@IdentificacionCliente = '901434038';</v>
      </c>
      <c r="AB9" t="s">
        <v>1085</v>
      </c>
    </row>
    <row r="10" spans="1:28" x14ac:dyDescent="0.25">
      <c r="A10" s="2" t="s">
        <v>19</v>
      </c>
      <c r="B10" s="2" t="s">
        <v>16</v>
      </c>
      <c r="C10" s="2" t="s">
        <v>20</v>
      </c>
      <c r="D10" s="2" t="s">
        <v>21</v>
      </c>
      <c r="E10" s="2"/>
      <c r="F10" s="2"/>
      <c r="G10" s="2"/>
      <c r="H10" s="3" t="s">
        <v>682</v>
      </c>
      <c r="I10" s="3" t="s">
        <v>683</v>
      </c>
      <c r="J10" s="3" t="s">
        <v>684</v>
      </c>
      <c r="K10" s="3" t="s">
        <v>685</v>
      </c>
      <c r="L10" t="s">
        <v>1071</v>
      </c>
      <c r="M10" t="s">
        <v>1072</v>
      </c>
      <c r="N10" t="s">
        <v>1073</v>
      </c>
      <c r="O10" t="s">
        <v>1074</v>
      </c>
      <c r="P10" t="s">
        <v>1075</v>
      </c>
      <c r="Q10" t="s">
        <v>1076</v>
      </c>
      <c r="R10" t="s">
        <v>1077</v>
      </c>
      <c r="S10" t="s">
        <v>1078</v>
      </c>
      <c r="T10" t="s">
        <v>1079</v>
      </c>
      <c r="U10" t="s">
        <v>1080</v>
      </c>
      <c r="V10" t="s">
        <v>1081</v>
      </c>
      <c r="W10" t="s">
        <v>1082</v>
      </c>
      <c r="X10">
        <v>20240630</v>
      </c>
      <c r="Y10" t="s">
        <v>1083</v>
      </c>
      <c r="Z10" t="s">
        <v>1084</v>
      </c>
      <c r="AA10" s="11" t="str">
        <f t="shared" ref="AA10:AA73" si="0">_xlfn.CONCAT(L10,Y10,A10,Y10,Z10,M10,Y10,B10,Y10,Z10,N10,Y10,C10,Y10,Z10,AB10,Y10,D10,Y10,Z10,O10,Y10,E10,Y10,Z10,P10,Y10,F10,Y10,Z10,Q10,Y10,G10,Y10,Z10,R10,H10,Z10,S10,I10,Z10,T10,J10,Z10,U10,J10,Z10,V10,Y10,X10,Y10,Z10,W10,Y10,"901434038",Y10,";")</f>
        <v>EXEC [dbo].[BalanceGeneralInsertar] @Nivel ='Grupo',@Transaccional ='No',@CodigoCuentaContable ='11', @NombreCuentaContable ='Efectivo y equivalentes de efectivo',@Identificacion ='',@Sucursal ='',@NombreTercero ='',@SaldoInicial = 2258625.93,@MovimientoDebito = 39325979.41,@MovimientoCredito =25423356.42,@SaldoFinal = 25423356.42,@Fecha ='20240630',@IdentificacionCliente = '901434038';</v>
      </c>
      <c r="AB10" t="s">
        <v>1085</v>
      </c>
    </row>
    <row r="11" spans="1:28" x14ac:dyDescent="0.25">
      <c r="A11" s="2" t="s">
        <v>22</v>
      </c>
      <c r="B11" s="2" t="s">
        <v>16</v>
      </c>
      <c r="C11" s="2" t="s">
        <v>23</v>
      </c>
      <c r="D11" s="2" t="s">
        <v>24</v>
      </c>
      <c r="E11" s="2"/>
      <c r="F11" s="2"/>
      <c r="G11" s="2"/>
      <c r="H11" s="3" t="s">
        <v>682</v>
      </c>
      <c r="I11" s="3" t="s">
        <v>683</v>
      </c>
      <c r="J11" s="3" t="s">
        <v>684</v>
      </c>
      <c r="K11" s="3" t="s">
        <v>685</v>
      </c>
      <c r="L11" t="s">
        <v>1071</v>
      </c>
      <c r="M11" t="s">
        <v>1072</v>
      </c>
      <c r="N11" t="s">
        <v>1073</v>
      </c>
      <c r="O11" t="s">
        <v>1074</v>
      </c>
      <c r="P11" t="s">
        <v>1075</v>
      </c>
      <c r="Q11" t="s">
        <v>1076</v>
      </c>
      <c r="R11" t="s">
        <v>1077</v>
      </c>
      <c r="S11" t="s">
        <v>1078</v>
      </c>
      <c r="T11" t="s">
        <v>1079</v>
      </c>
      <c r="U11" t="s">
        <v>1080</v>
      </c>
      <c r="V11" t="s">
        <v>1081</v>
      </c>
      <c r="W11" t="s">
        <v>1082</v>
      </c>
      <c r="X11">
        <v>20240630</v>
      </c>
      <c r="Y11" t="s">
        <v>1083</v>
      </c>
      <c r="Z11" t="s">
        <v>1084</v>
      </c>
      <c r="AA11" s="11" t="str">
        <f t="shared" si="0"/>
        <v>EXEC [dbo].[BalanceGeneralInsertar] @Nivel ='Cuenta',@Transaccional ='No',@CodigoCuentaContable ='1110', @NombreCuentaContable ='Bancos',@Identificacion ='',@Sucursal ='',@NombreTercero ='',@SaldoInicial = 2258625.93,@MovimientoDebito = 39325979.41,@MovimientoCredito =25423356.42,@SaldoFinal = 25423356.42,@Fecha ='20240630',@IdentificacionCliente = '901434038';</v>
      </c>
      <c r="AB11" t="s">
        <v>1085</v>
      </c>
    </row>
    <row r="12" spans="1:28" x14ac:dyDescent="0.25">
      <c r="A12" s="2" t="s">
        <v>25</v>
      </c>
      <c r="B12" s="2" t="s">
        <v>16</v>
      </c>
      <c r="C12" s="2" t="s">
        <v>26</v>
      </c>
      <c r="D12" s="2" t="s">
        <v>27</v>
      </c>
      <c r="E12" s="2"/>
      <c r="F12" s="2"/>
      <c r="G12" s="2"/>
      <c r="H12" s="3" t="s">
        <v>682</v>
      </c>
      <c r="I12" s="3" t="s">
        <v>683</v>
      </c>
      <c r="J12" s="3" t="s">
        <v>684</v>
      </c>
      <c r="K12" s="3" t="s">
        <v>685</v>
      </c>
      <c r="L12" t="s">
        <v>1071</v>
      </c>
      <c r="M12" t="s">
        <v>1072</v>
      </c>
      <c r="N12" t="s">
        <v>1073</v>
      </c>
      <c r="O12" t="s">
        <v>1074</v>
      </c>
      <c r="P12" t="s">
        <v>1075</v>
      </c>
      <c r="Q12" t="s">
        <v>1076</v>
      </c>
      <c r="R12" t="s">
        <v>1077</v>
      </c>
      <c r="S12" t="s">
        <v>1078</v>
      </c>
      <c r="T12" t="s">
        <v>1079</v>
      </c>
      <c r="U12" t="s">
        <v>1080</v>
      </c>
      <c r="V12" t="s">
        <v>1081</v>
      </c>
      <c r="W12" t="s">
        <v>1082</v>
      </c>
      <c r="X12">
        <v>20240630</v>
      </c>
      <c r="Y12" t="s">
        <v>1083</v>
      </c>
      <c r="Z12" t="s">
        <v>1084</v>
      </c>
      <c r="AA12" s="11" t="str">
        <f t="shared" si="0"/>
        <v>EXEC [dbo].[BalanceGeneralInsertar] @Nivel ='Subcuenta',@Transaccional ='No',@CodigoCuentaContable ='111005', @NombreCuentaContable ='Moneda nacional',@Identificacion ='',@Sucursal ='',@NombreTercero ='',@SaldoInicial = 2258625.93,@MovimientoDebito = 39325979.41,@MovimientoCredito =25423356.42,@SaldoFinal = 25423356.42,@Fecha ='20240630',@IdentificacionCliente = '901434038';</v>
      </c>
      <c r="AB12" t="s">
        <v>1085</v>
      </c>
    </row>
    <row r="13" spans="1:28" x14ac:dyDescent="0.25">
      <c r="A13" s="2" t="s">
        <v>28</v>
      </c>
      <c r="B13" s="2" t="s">
        <v>29</v>
      </c>
      <c r="C13" s="2" t="s">
        <v>30</v>
      </c>
      <c r="D13" s="2" t="s">
        <v>27</v>
      </c>
      <c r="E13" s="2" t="s">
        <v>31</v>
      </c>
      <c r="F13" s="2"/>
      <c r="G13" s="2" t="s">
        <v>32</v>
      </c>
      <c r="H13" s="3">
        <v>-6745398</v>
      </c>
      <c r="I13" s="3">
        <v>0</v>
      </c>
      <c r="J13" s="3">
        <v>0</v>
      </c>
      <c r="K13" s="3">
        <v>-6745398</v>
      </c>
      <c r="L13" t="s">
        <v>1071</v>
      </c>
      <c r="M13" t="s">
        <v>1072</v>
      </c>
      <c r="N13" t="s">
        <v>1073</v>
      </c>
      <c r="O13" t="s">
        <v>1074</v>
      </c>
      <c r="P13" t="s">
        <v>1075</v>
      </c>
      <c r="Q13" t="s">
        <v>1076</v>
      </c>
      <c r="R13" t="s">
        <v>1077</v>
      </c>
      <c r="S13" t="s">
        <v>1078</v>
      </c>
      <c r="T13" t="s">
        <v>1079</v>
      </c>
      <c r="U13" t="s">
        <v>1080</v>
      </c>
      <c r="V13" t="s">
        <v>1081</v>
      </c>
      <c r="W13" t="s">
        <v>1082</v>
      </c>
      <c r="X13">
        <v>20240630</v>
      </c>
      <c r="Y13" t="s">
        <v>1083</v>
      </c>
      <c r="Z13" t="s">
        <v>1084</v>
      </c>
      <c r="AA13" s="11" t="str">
        <f t="shared" si="0"/>
        <v>EXEC [dbo].[BalanceGeneralInsertar] @Nivel ='Auxiliar',@Transaccional ='Sí',@CodigoCuentaContable ='11100501', @NombreCuentaContable ='Moneda nacional',@Identificacion ='860007322',@Sucursal ='',@NombreTercero ='Camara de comercio de bogota',@SaldoInicial = -6745398,@MovimientoDebito = 0,@MovimientoCredito =0,@SaldoFinal = 0,@Fecha ='20240630',@IdentificacionCliente = '901434038';</v>
      </c>
      <c r="AB13" t="s">
        <v>1085</v>
      </c>
    </row>
    <row r="14" spans="1:28" x14ac:dyDescent="0.25">
      <c r="A14" s="2" t="s">
        <v>28</v>
      </c>
      <c r="B14" s="2" t="s">
        <v>29</v>
      </c>
      <c r="C14" s="2" t="s">
        <v>30</v>
      </c>
      <c r="D14" s="2" t="s">
        <v>27</v>
      </c>
      <c r="E14" s="2" t="s">
        <v>33</v>
      </c>
      <c r="F14" s="2"/>
      <c r="G14" s="2" t="s">
        <v>34</v>
      </c>
      <c r="H14" s="3">
        <v>-17124000</v>
      </c>
      <c r="I14" s="3">
        <v>0</v>
      </c>
      <c r="J14" s="3">
        <v>0</v>
      </c>
      <c r="K14" s="3">
        <v>-17124000</v>
      </c>
      <c r="L14" t="s">
        <v>1071</v>
      </c>
      <c r="M14" t="s">
        <v>1072</v>
      </c>
      <c r="N14" t="s">
        <v>1073</v>
      </c>
      <c r="O14" t="s">
        <v>1074</v>
      </c>
      <c r="P14" t="s">
        <v>1075</v>
      </c>
      <c r="Q14" t="s">
        <v>1076</v>
      </c>
      <c r="R14" t="s">
        <v>1077</v>
      </c>
      <c r="S14" t="s">
        <v>1078</v>
      </c>
      <c r="T14" t="s">
        <v>1079</v>
      </c>
      <c r="U14" t="s">
        <v>1080</v>
      </c>
      <c r="V14" t="s">
        <v>1081</v>
      </c>
      <c r="W14" t="s">
        <v>1082</v>
      </c>
      <c r="X14">
        <v>20240630</v>
      </c>
      <c r="Y14" t="s">
        <v>1083</v>
      </c>
      <c r="Z14" t="s">
        <v>1084</v>
      </c>
      <c r="AA14" s="11" t="str">
        <f t="shared" si="0"/>
        <v>EXEC [dbo].[BalanceGeneralInsertar] @Nivel ='Auxiliar',@Transaccional ='Sí',@CodigoCuentaContable ='11100501', @NombreCuentaContable ='Moneda nacional',@Identificacion ='899999061',@Sucursal ='',@NombreTercero ='Secretaría Distrital de Hacienda',@SaldoInicial = -17124000,@MovimientoDebito = 0,@MovimientoCredito =0,@SaldoFinal = 0,@Fecha ='20240630',@IdentificacionCliente = '901434038';</v>
      </c>
      <c r="AB14" t="s">
        <v>1085</v>
      </c>
    </row>
    <row r="15" spans="1:28" x14ac:dyDescent="0.25">
      <c r="A15" s="2" t="s">
        <v>28</v>
      </c>
      <c r="B15" s="2" t="s">
        <v>29</v>
      </c>
      <c r="C15" s="2" t="s">
        <v>30</v>
      </c>
      <c r="D15" s="2" t="s">
        <v>27</v>
      </c>
      <c r="E15" s="2" t="s">
        <v>35</v>
      </c>
      <c r="F15" s="2"/>
      <c r="G15" s="2" t="s">
        <v>36</v>
      </c>
      <c r="H15" s="3" t="s">
        <v>686</v>
      </c>
      <c r="I15" s="3" t="s">
        <v>687</v>
      </c>
      <c r="J15" s="3" t="s">
        <v>688</v>
      </c>
      <c r="K15" s="3" t="s">
        <v>689</v>
      </c>
      <c r="L15" t="s">
        <v>1071</v>
      </c>
      <c r="M15" t="s">
        <v>1072</v>
      </c>
      <c r="N15" t="s">
        <v>1073</v>
      </c>
      <c r="O15" t="s">
        <v>1074</v>
      </c>
      <c r="P15" t="s">
        <v>1075</v>
      </c>
      <c r="Q15" t="s">
        <v>1076</v>
      </c>
      <c r="R15" t="s">
        <v>1077</v>
      </c>
      <c r="S15" t="s">
        <v>1078</v>
      </c>
      <c r="T15" t="s">
        <v>1079</v>
      </c>
      <c r="U15" t="s">
        <v>1080</v>
      </c>
      <c r="V15" t="s">
        <v>1081</v>
      </c>
      <c r="W15" t="s">
        <v>1082</v>
      </c>
      <c r="X15">
        <v>20240630</v>
      </c>
      <c r="Y15" t="s">
        <v>1083</v>
      </c>
      <c r="Z15" t="s">
        <v>1084</v>
      </c>
      <c r="AA15" s="11" t="str">
        <f t="shared" si="0"/>
        <v>EXEC [dbo].[BalanceGeneralInsertar] @Nivel ='Auxiliar',@Transaccional ='Sí',@CodigoCuentaContable ='11100501', @NombreCuentaContable ='Moneda nacional',@Identificacion ='890903938',@Sucursal ='',@NombreTercero ='Bancolombia',@SaldoInicial = 1342771777.42,@MovimientoDebito = 269.63,@MovimientoCredito =11706453.42,@SaldoFinal = 11706453.42,@Fecha ='20240630',@IdentificacionCliente = '901434038';</v>
      </c>
      <c r="AB15" t="s">
        <v>1085</v>
      </c>
    </row>
    <row r="16" spans="1:28" x14ac:dyDescent="0.25">
      <c r="A16" s="2" t="s">
        <v>28</v>
      </c>
      <c r="B16" s="2" t="s">
        <v>29</v>
      </c>
      <c r="C16" s="2" t="s">
        <v>30</v>
      </c>
      <c r="D16" s="2" t="s">
        <v>27</v>
      </c>
      <c r="E16" s="2" t="s">
        <v>37</v>
      </c>
      <c r="F16" s="2"/>
      <c r="G16" s="2" t="s">
        <v>38</v>
      </c>
      <c r="H16" s="3">
        <v>-18358100</v>
      </c>
      <c r="I16" s="3">
        <v>0</v>
      </c>
      <c r="J16" s="3">
        <v>671000</v>
      </c>
      <c r="K16" s="3">
        <v>-19029100</v>
      </c>
      <c r="L16" t="s">
        <v>1071</v>
      </c>
      <c r="M16" t="s">
        <v>1072</v>
      </c>
      <c r="N16" t="s">
        <v>1073</v>
      </c>
      <c r="O16" t="s">
        <v>1074</v>
      </c>
      <c r="P16" t="s">
        <v>1075</v>
      </c>
      <c r="Q16" t="s">
        <v>1076</v>
      </c>
      <c r="R16" t="s">
        <v>1077</v>
      </c>
      <c r="S16" t="s">
        <v>1078</v>
      </c>
      <c r="T16" t="s">
        <v>1079</v>
      </c>
      <c r="U16" t="s">
        <v>1080</v>
      </c>
      <c r="V16" t="s">
        <v>1081</v>
      </c>
      <c r="W16" t="s">
        <v>1082</v>
      </c>
      <c r="X16">
        <v>20240630</v>
      </c>
      <c r="Y16" t="s">
        <v>1083</v>
      </c>
      <c r="Z16" t="s">
        <v>1084</v>
      </c>
      <c r="AA16" s="11" t="str">
        <f t="shared" si="0"/>
        <v>EXEC [dbo].[BalanceGeneralInsertar] @Nivel ='Auxiliar',@Transaccional ='Sí',@CodigoCuentaContable ='11100501', @NombreCuentaContable ='Moneda nacional',@Identificacion ='899999034',@Sucursal ='',@NombreTercero ='Servicio Nacional de Aprendizaje',@SaldoInicial = -18358100,@MovimientoDebito = 0,@MovimientoCredito =671000,@SaldoFinal = 671000,@Fecha ='20240630',@IdentificacionCliente = '901434038';</v>
      </c>
      <c r="AB16" t="s">
        <v>1085</v>
      </c>
    </row>
    <row r="17" spans="1:28" x14ac:dyDescent="0.25">
      <c r="A17" s="2" t="s">
        <v>28</v>
      </c>
      <c r="B17" s="2" t="s">
        <v>29</v>
      </c>
      <c r="C17" s="2" t="s">
        <v>30</v>
      </c>
      <c r="D17" s="2" t="s">
        <v>27</v>
      </c>
      <c r="E17" s="2" t="s">
        <v>39</v>
      </c>
      <c r="F17" s="2"/>
      <c r="G17" s="2" t="s">
        <v>40</v>
      </c>
      <c r="H17" s="3">
        <v>-88844000</v>
      </c>
      <c r="I17" s="3">
        <v>0</v>
      </c>
      <c r="J17" s="3">
        <v>5967000</v>
      </c>
      <c r="K17" s="3">
        <v>-94811000</v>
      </c>
      <c r="L17" t="s">
        <v>1071</v>
      </c>
      <c r="M17" t="s">
        <v>1072</v>
      </c>
      <c r="N17" t="s">
        <v>1073</v>
      </c>
      <c r="O17" t="s">
        <v>1074</v>
      </c>
      <c r="P17" t="s">
        <v>1075</v>
      </c>
      <c r="Q17" t="s">
        <v>1076</v>
      </c>
      <c r="R17" t="s">
        <v>1077</v>
      </c>
      <c r="S17" t="s">
        <v>1078</v>
      </c>
      <c r="T17" t="s">
        <v>1079</v>
      </c>
      <c r="U17" t="s">
        <v>1080</v>
      </c>
      <c r="V17" t="s">
        <v>1081</v>
      </c>
      <c r="W17" t="s">
        <v>1082</v>
      </c>
      <c r="X17">
        <v>20240630</v>
      </c>
      <c r="Y17" t="s">
        <v>1083</v>
      </c>
      <c r="Z17" t="s">
        <v>1084</v>
      </c>
      <c r="AA17" s="11" t="str">
        <f t="shared" si="0"/>
        <v>EXEC [dbo].[BalanceGeneralInsertar] @Nivel ='Auxiliar',@Transaccional ='Sí',@CodigoCuentaContable ='11100501', @NombreCuentaContable ='Moneda nacional',@Identificacion ='800197268',@Sucursal ='',@NombreTercero ='DIAN',@SaldoInicial = -88844000,@MovimientoDebito = 0,@MovimientoCredito =5967000,@SaldoFinal = 5967000,@Fecha ='20240630',@IdentificacionCliente = '901434038';</v>
      </c>
      <c r="AB17" t="s">
        <v>1085</v>
      </c>
    </row>
    <row r="18" spans="1:28" x14ac:dyDescent="0.25">
      <c r="A18" s="2" t="s">
        <v>28</v>
      </c>
      <c r="B18" s="2" t="s">
        <v>29</v>
      </c>
      <c r="C18" s="2" t="s">
        <v>30</v>
      </c>
      <c r="D18" s="2" t="s">
        <v>27</v>
      </c>
      <c r="E18" s="2" t="s">
        <v>41</v>
      </c>
      <c r="F18" s="2"/>
      <c r="G18" s="2" t="s">
        <v>42</v>
      </c>
      <c r="H18" s="3">
        <v>-2923000</v>
      </c>
      <c r="I18" s="3">
        <v>0</v>
      </c>
      <c r="J18" s="3">
        <v>0</v>
      </c>
      <c r="K18" s="3">
        <v>-2923000</v>
      </c>
      <c r="L18" t="s">
        <v>1071</v>
      </c>
      <c r="M18" t="s">
        <v>1072</v>
      </c>
      <c r="N18" t="s">
        <v>1073</v>
      </c>
      <c r="O18" t="s">
        <v>1074</v>
      </c>
      <c r="P18" t="s">
        <v>1075</v>
      </c>
      <c r="Q18" t="s">
        <v>1076</v>
      </c>
      <c r="R18" t="s">
        <v>1077</v>
      </c>
      <c r="S18" t="s">
        <v>1078</v>
      </c>
      <c r="T18" t="s">
        <v>1079</v>
      </c>
      <c r="U18" t="s">
        <v>1080</v>
      </c>
      <c r="V18" t="s">
        <v>1081</v>
      </c>
      <c r="W18" t="s">
        <v>1082</v>
      </c>
      <c r="X18">
        <v>20240630</v>
      </c>
      <c r="Y18" t="s">
        <v>1083</v>
      </c>
      <c r="Z18" t="s">
        <v>1084</v>
      </c>
      <c r="AA18" s="11" t="str">
        <f t="shared" si="0"/>
        <v>EXEC [dbo].[BalanceGeneralInsertar] @Nivel ='Auxiliar',@Transaccional ='Sí',@CodigoCuentaContable ='11100501', @NombreCuentaContable ='Moneda nacional',@Identificacion ='800224808',@Sucursal ='',@NombreTercero ='Porvenir S.A',@SaldoInicial = -2923000,@MovimientoDebito = 0,@MovimientoCredito =0,@SaldoFinal = 0,@Fecha ='20240630',@IdentificacionCliente = '901434038';</v>
      </c>
      <c r="AB18" t="s">
        <v>1085</v>
      </c>
    </row>
    <row r="19" spans="1:28" x14ac:dyDescent="0.25">
      <c r="A19" s="2" t="s">
        <v>28</v>
      </c>
      <c r="B19" s="2" t="s">
        <v>29</v>
      </c>
      <c r="C19" s="2" t="s">
        <v>30</v>
      </c>
      <c r="D19" s="2" t="s">
        <v>27</v>
      </c>
      <c r="E19" s="2" t="s">
        <v>43</v>
      </c>
      <c r="F19" s="2"/>
      <c r="G19" s="2" t="s">
        <v>44</v>
      </c>
      <c r="H19" s="3">
        <v>-3000000</v>
      </c>
      <c r="I19" s="3">
        <v>0</v>
      </c>
      <c r="J19" s="3">
        <v>0</v>
      </c>
      <c r="K19" s="3">
        <v>-3000000</v>
      </c>
      <c r="L19" t="s">
        <v>1071</v>
      </c>
      <c r="M19" t="s">
        <v>1072</v>
      </c>
      <c r="N19" t="s">
        <v>1073</v>
      </c>
      <c r="O19" t="s">
        <v>1074</v>
      </c>
      <c r="P19" t="s">
        <v>1075</v>
      </c>
      <c r="Q19" t="s">
        <v>1076</v>
      </c>
      <c r="R19" t="s">
        <v>1077</v>
      </c>
      <c r="S19" t="s">
        <v>1078</v>
      </c>
      <c r="T19" t="s">
        <v>1079</v>
      </c>
      <c r="U19" t="s">
        <v>1080</v>
      </c>
      <c r="V19" t="s">
        <v>1081</v>
      </c>
      <c r="W19" t="s">
        <v>1082</v>
      </c>
      <c r="X19">
        <v>20240630</v>
      </c>
      <c r="Y19" t="s">
        <v>1083</v>
      </c>
      <c r="Z19" t="s">
        <v>1084</v>
      </c>
      <c r="AA19" s="11" t="str">
        <f t="shared" si="0"/>
        <v>EXEC [dbo].[BalanceGeneralInsertar] @Nivel ='Auxiliar',@Transaccional ='Sí',@CodigoCuentaContable ='11100501', @NombreCuentaContable ='Moneda nacional',@Identificacion ='29661798',@Sucursal ='',@NombreTercero ='MARTHA LUCIA SAVEEDRA ORTEGA',@SaldoInicial = -3000000,@MovimientoDebito = 0,@MovimientoCredito =0,@SaldoFinal = 0,@Fecha ='20240630',@IdentificacionCliente = '901434038';</v>
      </c>
      <c r="AB19" t="s">
        <v>1085</v>
      </c>
    </row>
    <row r="20" spans="1:28" x14ac:dyDescent="0.25">
      <c r="A20" s="2" t="s">
        <v>28</v>
      </c>
      <c r="B20" s="2" t="s">
        <v>29</v>
      </c>
      <c r="C20" s="2" t="s">
        <v>30</v>
      </c>
      <c r="D20" s="2" t="s">
        <v>27</v>
      </c>
      <c r="E20" s="2" t="s">
        <v>45</v>
      </c>
      <c r="F20" s="2"/>
      <c r="G20" s="2" t="s">
        <v>46</v>
      </c>
      <c r="H20" s="3">
        <v>-68500</v>
      </c>
      <c r="I20" s="3">
        <v>0</v>
      </c>
      <c r="J20" s="3">
        <v>0</v>
      </c>
      <c r="K20" s="3">
        <v>-68500</v>
      </c>
      <c r="L20" t="s">
        <v>1071</v>
      </c>
      <c r="M20" t="s">
        <v>1072</v>
      </c>
      <c r="N20" t="s">
        <v>1073</v>
      </c>
      <c r="O20" t="s">
        <v>1074</v>
      </c>
      <c r="P20" t="s">
        <v>1075</v>
      </c>
      <c r="Q20" t="s">
        <v>1076</v>
      </c>
      <c r="R20" t="s">
        <v>1077</v>
      </c>
      <c r="S20" t="s">
        <v>1078</v>
      </c>
      <c r="T20" t="s">
        <v>1079</v>
      </c>
      <c r="U20" t="s">
        <v>1080</v>
      </c>
      <c r="V20" t="s">
        <v>1081</v>
      </c>
      <c r="W20" t="s">
        <v>1082</v>
      </c>
      <c r="X20">
        <v>20240630</v>
      </c>
      <c r="Y20" t="s">
        <v>1083</v>
      </c>
      <c r="Z20" t="s">
        <v>1084</v>
      </c>
      <c r="AA20" s="11" t="str">
        <f t="shared" si="0"/>
        <v>EXEC [dbo].[BalanceGeneralInsertar] @Nivel ='Auxiliar',@Transaccional ='Sí',@CodigoCuentaContable ='11100501', @NombreCuentaContable ='Moneda nacional',@Identificacion ='1007847504',@Sucursal ='',@NombreTercero ='Lizeth Atehortua Olarte',@SaldoInicial = -68500,@MovimientoDebito = 0,@MovimientoCredito =0,@SaldoFinal = 0,@Fecha ='20240630',@IdentificacionCliente = '901434038';</v>
      </c>
      <c r="AB20" t="s">
        <v>1085</v>
      </c>
    </row>
    <row r="21" spans="1:28" x14ac:dyDescent="0.25">
      <c r="A21" s="2" t="s">
        <v>28</v>
      </c>
      <c r="B21" s="2" t="s">
        <v>29</v>
      </c>
      <c r="C21" s="2" t="s">
        <v>30</v>
      </c>
      <c r="D21" s="2" t="s">
        <v>27</v>
      </c>
      <c r="E21" s="2" t="s">
        <v>47</v>
      </c>
      <c r="F21" s="2"/>
      <c r="G21" s="2" t="s">
        <v>48</v>
      </c>
      <c r="H21" s="3">
        <v>-1625000</v>
      </c>
      <c r="I21" s="3">
        <v>0</v>
      </c>
      <c r="J21" s="3">
        <v>0</v>
      </c>
      <c r="K21" s="3">
        <v>-1625000</v>
      </c>
      <c r="L21" t="s">
        <v>1071</v>
      </c>
      <c r="M21" t="s">
        <v>1072</v>
      </c>
      <c r="N21" t="s">
        <v>1073</v>
      </c>
      <c r="O21" t="s">
        <v>1074</v>
      </c>
      <c r="P21" t="s">
        <v>1075</v>
      </c>
      <c r="Q21" t="s">
        <v>1076</v>
      </c>
      <c r="R21" t="s">
        <v>1077</v>
      </c>
      <c r="S21" t="s">
        <v>1078</v>
      </c>
      <c r="T21" t="s">
        <v>1079</v>
      </c>
      <c r="U21" t="s">
        <v>1080</v>
      </c>
      <c r="V21" t="s">
        <v>1081</v>
      </c>
      <c r="W21" t="s">
        <v>1082</v>
      </c>
      <c r="X21">
        <v>20240630</v>
      </c>
      <c r="Y21" t="s">
        <v>1083</v>
      </c>
      <c r="Z21" t="s">
        <v>1084</v>
      </c>
      <c r="AA21" s="11" t="str">
        <f t="shared" si="0"/>
        <v>EXEC [dbo].[BalanceGeneralInsertar] @Nivel ='Auxiliar',@Transaccional ='Sí',@CodigoCuentaContable ='11100501', @NombreCuentaContable ='Moneda nacional',@Identificacion ='52377442',@Sucursal ='',@NombreTercero ='ANGELICA MARIA QUIMBAYO',@SaldoInicial = -1625000,@MovimientoDebito = 0,@MovimientoCredito =0,@SaldoFinal = 0,@Fecha ='20240630',@IdentificacionCliente = '901434038';</v>
      </c>
      <c r="AB21" t="s">
        <v>1085</v>
      </c>
    </row>
    <row r="22" spans="1:28" x14ac:dyDescent="0.25">
      <c r="A22" s="2" t="s">
        <v>28</v>
      </c>
      <c r="B22" s="2" t="s">
        <v>29</v>
      </c>
      <c r="C22" s="2" t="s">
        <v>30</v>
      </c>
      <c r="D22" s="2" t="s">
        <v>27</v>
      </c>
      <c r="E22" s="2" t="s">
        <v>49</v>
      </c>
      <c r="F22" s="2"/>
      <c r="G22" s="2" t="s">
        <v>50</v>
      </c>
      <c r="H22" s="3">
        <v>-42459464</v>
      </c>
      <c r="I22" s="3">
        <v>0</v>
      </c>
      <c r="J22" s="3">
        <v>0</v>
      </c>
      <c r="K22" s="3">
        <v>-42459464</v>
      </c>
      <c r="L22" t="s">
        <v>1071</v>
      </c>
      <c r="M22" t="s">
        <v>1072</v>
      </c>
      <c r="N22" t="s">
        <v>1073</v>
      </c>
      <c r="O22" t="s">
        <v>1074</v>
      </c>
      <c r="P22" t="s">
        <v>1075</v>
      </c>
      <c r="Q22" t="s">
        <v>1076</v>
      </c>
      <c r="R22" t="s">
        <v>1077</v>
      </c>
      <c r="S22" t="s">
        <v>1078</v>
      </c>
      <c r="T22" t="s">
        <v>1079</v>
      </c>
      <c r="U22" t="s">
        <v>1080</v>
      </c>
      <c r="V22" t="s">
        <v>1081</v>
      </c>
      <c r="W22" t="s">
        <v>1082</v>
      </c>
      <c r="X22">
        <v>20240630</v>
      </c>
      <c r="Y22" t="s">
        <v>1083</v>
      </c>
      <c r="Z22" t="s">
        <v>1084</v>
      </c>
      <c r="AA22" s="11" t="str">
        <f t="shared" si="0"/>
        <v>EXEC [dbo].[BalanceGeneralInsertar] @Nivel ='Auxiliar',@Transaccional ='Sí',@CodigoCuentaContable ='11100501', @NombreCuentaContable ='Moneda nacional',@Identificacion ='7128531',@Sucursal ='',@NombreTercero ='GABRIEL OBDULIO REINA TOVAR',@SaldoInicial = -42459464,@MovimientoDebito = 0,@MovimientoCredito =0,@SaldoFinal = 0,@Fecha ='20240630',@IdentificacionCliente = '901434038';</v>
      </c>
      <c r="AB22" t="s">
        <v>1085</v>
      </c>
    </row>
    <row r="23" spans="1:28" x14ac:dyDescent="0.25">
      <c r="A23" s="2" t="s">
        <v>28</v>
      </c>
      <c r="B23" s="2" t="s">
        <v>29</v>
      </c>
      <c r="C23" s="2" t="s">
        <v>30</v>
      </c>
      <c r="D23" s="2" t="s">
        <v>27</v>
      </c>
      <c r="E23" s="2" t="s">
        <v>51</v>
      </c>
      <c r="F23" s="2"/>
      <c r="G23" s="2" t="s">
        <v>52</v>
      </c>
      <c r="H23" s="3" t="s">
        <v>690</v>
      </c>
      <c r="I23" s="3">
        <v>6371441</v>
      </c>
      <c r="J23" s="3">
        <v>0</v>
      </c>
      <c r="K23" s="3" t="s">
        <v>691</v>
      </c>
      <c r="L23" t="s">
        <v>1071</v>
      </c>
      <c r="M23" t="s">
        <v>1072</v>
      </c>
      <c r="N23" t="s">
        <v>1073</v>
      </c>
      <c r="O23" t="s">
        <v>1074</v>
      </c>
      <c r="P23" t="s">
        <v>1075</v>
      </c>
      <c r="Q23" t="s">
        <v>1076</v>
      </c>
      <c r="R23" t="s">
        <v>1077</v>
      </c>
      <c r="S23" t="s">
        <v>1078</v>
      </c>
      <c r="T23" t="s">
        <v>1079</v>
      </c>
      <c r="U23" t="s">
        <v>1080</v>
      </c>
      <c r="V23" t="s">
        <v>1081</v>
      </c>
      <c r="W23" t="s">
        <v>1082</v>
      </c>
      <c r="X23">
        <v>20240630</v>
      </c>
      <c r="Y23" t="s">
        <v>1083</v>
      </c>
      <c r="Z23" t="s">
        <v>1084</v>
      </c>
      <c r="AA23" s="11" t="str">
        <f t="shared" si="0"/>
        <v>EXEC [dbo].[BalanceGeneralInsertar] @Nivel ='Auxiliar',@Transaccional ='Sí',@CodigoCuentaContable ='11100501', @NombreCuentaContable ='Moneda nacional',@Identificacion ='901733873',@Sucursal ='',@NombreTercero ='AV SALUD INTEGRAL SAS',@SaldoInicial = 80752949.85,@MovimientoDebito = 6371441,@MovimientoCredito =0,@SaldoFinal = 0,@Fecha ='20240630',@IdentificacionCliente = '901434038';</v>
      </c>
      <c r="AB23" t="s">
        <v>1085</v>
      </c>
    </row>
    <row r="24" spans="1:28" x14ac:dyDescent="0.25">
      <c r="A24" s="2" t="s">
        <v>28</v>
      </c>
      <c r="B24" s="2" t="s">
        <v>29</v>
      </c>
      <c r="C24" s="2" t="s">
        <v>30</v>
      </c>
      <c r="D24" s="2" t="s">
        <v>27</v>
      </c>
      <c r="E24" s="2" t="s">
        <v>53</v>
      </c>
      <c r="F24" s="2"/>
      <c r="G24" s="2" t="s">
        <v>54</v>
      </c>
      <c r="H24" s="3">
        <v>-30570500</v>
      </c>
      <c r="I24" s="3">
        <v>0</v>
      </c>
      <c r="J24" s="3">
        <v>0</v>
      </c>
      <c r="K24" s="3">
        <v>-30570500</v>
      </c>
      <c r="L24" t="s">
        <v>1071</v>
      </c>
      <c r="M24" t="s">
        <v>1072</v>
      </c>
      <c r="N24" t="s">
        <v>1073</v>
      </c>
      <c r="O24" t="s">
        <v>1074</v>
      </c>
      <c r="P24" t="s">
        <v>1075</v>
      </c>
      <c r="Q24" t="s">
        <v>1076</v>
      </c>
      <c r="R24" t="s">
        <v>1077</v>
      </c>
      <c r="S24" t="s">
        <v>1078</v>
      </c>
      <c r="T24" t="s">
        <v>1079</v>
      </c>
      <c r="U24" t="s">
        <v>1080</v>
      </c>
      <c r="V24" t="s">
        <v>1081</v>
      </c>
      <c r="W24" t="s">
        <v>1082</v>
      </c>
      <c r="X24">
        <v>20240630</v>
      </c>
      <c r="Y24" t="s">
        <v>1083</v>
      </c>
      <c r="Z24" t="s">
        <v>1084</v>
      </c>
      <c r="AA24" s="11" t="str">
        <f t="shared" si="0"/>
        <v>EXEC [dbo].[BalanceGeneralInsertar] @Nivel ='Auxiliar',@Transaccional ='Sí',@CodigoCuentaContable ='11100501', @NombreCuentaContable ='Moneda nacional',@Identificacion ='901115633',@Sucursal ='',@NombreTercero ='CAROLINA MARTINEZ SAS',@SaldoInicial = -30570500,@MovimientoDebito = 0,@MovimientoCredito =0,@SaldoFinal = 0,@Fecha ='20240630',@IdentificacionCliente = '901434038';</v>
      </c>
      <c r="AB24" t="s">
        <v>1085</v>
      </c>
    </row>
    <row r="25" spans="1:28" x14ac:dyDescent="0.25">
      <c r="A25" s="2" t="s">
        <v>28</v>
      </c>
      <c r="B25" s="2" t="s">
        <v>29</v>
      </c>
      <c r="C25" s="2" t="s">
        <v>30</v>
      </c>
      <c r="D25" s="2" t="s">
        <v>27</v>
      </c>
      <c r="E25" s="2" t="s">
        <v>55</v>
      </c>
      <c r="F25" s="2"/>
      <c r="G25" s="2" t="s">
        <v>56</v>
      </c>
      <c r="H25" s="3">
        <v>-656511</v>
      </c>
      <c r="I25" s="3">
        <v>0</v>
      </c>
      <c r="J25" s="3">
        <v>0</v>
      </c>
      <c r="K25" s="3">
        <v>-656511</v>
      </c>
      <c r="L25" t="s">
        <v>1071</v>
      </c>
      <c r="M25" t="s">
        <v>1072</v>
      </c>
      <c r="N25" t="s">
        <v>1073</v>
      </c>
      <c r="O25" t="s">
        <v>1074</v>
      </c>
      <c r="P25" t="s">
        <v>1075</v>
      </c>
      <c r="Q25" t="s">
        <v>1076</v>
      </c>
      <c r="R25" t="s">
        <v>1077</v>
      </c>
      <c r="S25" t="s">
        <v>1078</v>
      </c>
      <c r="T25" t="s">
        <v>1079</v>
      </c>
      <c r="U25" t="s">
        <v>1080</v>
      </c>
      <c r="V25" t="s">
        <v>1081</v>
      </c>
      <c r="W25" t="s">
        <v>1082</v>
      </c>
      <c r="X25">
        <v>20240630</v>
      </c>
      <c r="Y25" t="s">
        <v>1083</v>
      </c>
      <c r="Z25" t="s">
        <v>1084</v>
      </c>
      <c r="AA25" s="11" t="str">
        <f t="shared" si="0"/>
        <v>EXEC [dbo].[BalanceGeneralInsertar] @Nivel ='Auxiliar',@Transaccional ='Sí',@CodigoCuentaContable ='11100501', @NombreCuentaContable ='Moneda nacional',@Identificacion ='900104326',@Sucursal ='',@NombreTercero ='COMPUFAST PREMIUM S.A',@SaldoInicial = -656511,@MovimientoDebito = 0,@MovimientoCredito =0,@SaldoFinal = 0,@Fecha ='20240630',@IdentificacionCliente = '901434038';</v>
      </c>
      <c r="AB25" t="s">
        <v>1085</v>
      </c>
    </row>
    <row r="26" spans="1:28" x14ac:dyDescent="0.25">
      <c r="A26" s="2" t="s">
        <v>28</v>
      </c>
      <c r="B26" s="2" t="s">
        <v>29</v>
      </c>
      <c r="C26" s="2" t="s">
        <v>30</v>
      </c>
      <c r="D26" s="2" t="s">
        <v>27</v>
      </c>
      <c r="E26" s="2" t="s">
        <v>57</v>
      </c>
      <c r="F26" s="2"/>
      <c r="G26" s="2" t="s">
        <v>58</v>
      </c>
      <c r="H26" s="3">
        <v>50680000</v>
      </c>
      <c r="I26" s="3">
        <v>0</v>
      </c>
      <c r="J26" s="3">
        <v>0</v>
      </c>
      <c r="K26" s="3">
        <v>50680000</v>
      </c>
      <c r="L26" t="s">
        <v>1071</v>
      </c>
      <c r="M26" t="s">
        <v>1072</v>
      </c>
      <c r="N26" t="s">
        <v>1073</v>
      </c>
      <c r="O26" t="s">
        <v>1074</v>
      </c>
      <c r="P26" t="s">
        <v>1075</v>
      </c>
      <c r="Q26" t="s">
        <v>1076</v>
      </c>
      <c r="R26" t="s">
        <v>1077</v>
      </c>
      <c r="S26" t="s">
        <v>1078</v>
      </c>
      <c r="T26" t="s">
        <v>1079</v>
      </c>
      <c r="U26" t="s">
        <v>1080</v>
      </c>
      <c r="V26" t="s">
        <v>1081</v>
      </c>
      <c r="W26" t="s">
        <v>1082</v>
      </c>
      <c r="X26">
        <v>20240630</v>
      </c>
      <c r="Y26" t="s">
        <v>1083</v>
      </c>
      <c r="Z26" t="s">
        <v>1084</v>
      </c>
      <c r="AA26" s="11" t="str">
        <f t="shared" si="0"/>
        <v>EXEC [dbo].[BalanceGeneralInsertar] @Nivel ='Auxiliar',@Transaccional ='Sí',@CodigoCuentaContable ='11100501', @NombreCuentaContable ='Moneda nacional',@Identificacion ='901745690',@Sucursal ='',@NombreTercero ='JOHANNA DAZA MEDICINA ANTIENVEJECIMIENTO S.A.S.',@SaldoInicial = 50680000,@MovimientoDebito = 0,@MovimientoCredito =0,@SaldoFinal = 0,@Fecha ='20240630',@IdentificacionCliente = '901434038';</v>
      </c>
      <c r="AB26" t="s">
        <v>1085</v>
      </c>
    </row>
    <row r="27" spans="1:28" x14ac:dyDescent="0.25">
      <c r="A27" s="2" t="s">
        <v>28</v>
      </c>
      <c r="B27" s="2" t="s">
        <v>29</v>
      </c>
      <c r="C27" s="2" t="s">
        <v>30</v>
      </c>
      <c r="D27" s="2" t="s">
        <v>27</v>
      </c>
      <c r="E27" s="2" t="s">
        <v>59</v>
      </c>
      <c r="F27" s="2"/>
      <c r="G27" s="2" t="s">
        <v>60</v>
      </c>
      <c r="H27" s="3">
        <v>-119000</v>
      </c>
      <c r="I27" s="3">
        <v>0</v>
      </c>
      <c r="J27" s="3">
        <v>0</v>
      </c>
      <c r="K27" s="3">
        <v>-119000</v>
      </c>
      <c r="L27" t="s">
        <v>1071</v>
      </c>
      <c r="M27" t="s">
        <v>1072</v>
      </c>
      <c r="N27" t="s">
        <v>1073</v>
      </c>
      <c r="O27" t="s">
        <v>1074</v>
      </c>
      <c r="P27" t="s">
        <v>1075</v>
      </c>
      <c r="Q27" t="s">
        <v>1076</v>
      </c>
      <c r="R27" t="s">
        <v>1077</v>
      </c>
      <c r="S27" t="s">
        <v>1078</v>
      </c>
      <c r="T27" t="s">
        <v>1079</v>
      </c>
      <c r="U27" t="s">
        <v>1080</v>
      </c>
      <c r="V27" t="s">
        <v>1081</v>
      </c>
      <c r="W27" t="s">
        <v>1082</v>
      </c>
      <c r="X27">
        <v>20240630</v>
      </c>
      <c r="Y27" t="s">
        <v>1083</v>
      </c>
      <c r="Z27" t="s">
        <v>1084</v>
      </c>
      <c r="AA27" s="11" t="str">
        <f t="shared" si="0"/>
        <v>EXEC [dbo].[BalanceGeneralInsertar] @Nivel ='Auxiliar',@Transaccional ='Sí',@CodigoCuentaContable ='11100501', @NombreCuentaContable ='Moneda nacional',@Identificacion ='900626859',@Sucursal ='',@NombreTercero ='DISTRISERVICIOS GRAFICOS S.A.S.',@SaldoInicial = -119000,@MovimientoDebito = 0,@MovimientoCredito =0,@SaldoFinal = 0,@Fecha ='20240630',@IdentificacionCliente = '901434038';</v>
      </c>
      <c r="AB27" t="s">
        <v>1085</v>
      </c>
    </row>
    <row r="28" spans="1:28" x14ac:dyDescent="0.25">
      <c r="A28" s="2" t="s">
        <v>28</v>
      </c>
      <c r="B28" s="2" t="s">
        <v>29</v>
      </c>
      <c r="C28" s="2" t="s">
        <v>30</v>
      </c>
      <c r="D28" s="2" t="s">
        <v>27</v>
      </c>
      <c r="E28" s="2" t="s">
        <v>61</v>
      </c>
      <c r="F28" s="2"/>
      <c r="G28" s="2" t="s">
        <v>62</v>
      </c>
      <c r="H28" s="3">
        <v>-1366004</v>
      </c>
      <c r="I28" s="3">
        <v>0</v>
      </c>
      <c r="J28" s="3">
        <v>0</v>
      </c>
      <c r="K28" s="3">
        <v>-1366004</v>
      </c>
      <c r="L28" t="s">
        <v>1071</v>
      </c>
      <c r="M28" t="s">
        <v>1072</v>
      </c>
      <c r="N28" t="s">
        <v>1073</v>
      </c>
      <c r="O28" t="s">
        <v>1074</v>
      </c>
      <c r="P28" t="s">
        <v>1075</v>
      </c>
      <c r="Q28" t="s">
        <v>1076</v>
      </c>
      <c r="R28" t="s">
        <v>1077</v>
      </c>
      <c r="S28" t="s">
        <v>1078</v>
      </c>
      <c r="T28" t="s">
        <v>1079</v>
      </c>
      <c r="U28" t="s">
        <v>1080</v>
      </c>
      <c r="V28" t="s">
        <v>1081</v>
      </c>
      <c r="W28" t="s">
        <v>1082</v>
      </c>
      <c r="X28">
        <v>20240630</v>
      </c>
      <c r="Y28" t="s">
        <v>1083</v>
      </c>
      <c r="Z28" t="s">
        <v>1084</v>
      </c>
      <c r="AA28" s="11" t="str">
        <f t="shared" si="0"/>
        <v>EXEC [dbo].[BalanceGeneralInsertar] @Nivel ='Auxiliar',@Transaccional ='Sí',@CodigoCuentaContable ='11100501', @NombreCuentaContable ='Moneda nacional',@Identificacion ='900995954',@Sucursal ='',@NombreTercero ='SEMPLI S.A.S.',@SaldoInicial = -1366004,@MovimientoDebito = 0,@MovimientoCredito =0,@SaldoFinal = 0,@Fecha ='20240630',@IdentificacionCliente = '901434038';</v>
      </c>
      <c r="AB28" t="s">
        <v>1085</v>
      </c>
    </row>
    <row r="29" spans="1:28" x14ac:dyDescent="0.25">
      <c r="A29" s="2" t="s">
        <v>28</v>
      </c>
      <c r="B29" s="2" t="s">
        <v>29</v>
      </c>
      <c r="C29" s="2" t="s">
        <v>30</v>
      </c>
      <c r="D29" s="2" t="s">
        <v>27</v>
      </c>
      <c r="E29" s="2" t="s">
        <v>63</v>
      </c>
      <c r="F29" s="2"/>
      <c r="G29" s="2" t="s">
        <v>64</v>
      </c>
      <c r="H29" s="3" t="s">
        <v>692</v>
      </c>
      <c r="I29" s="3">
        <v>0</v>
      </c>
      <c r="J29" s="3">
        <v>0</v>
      </c>
      <c r="K29" s="3" t="s">
        <v>692</v>
      </c>
      <c r="L29" t="s">
        <v>1071</v>
      </c>
      <c r="M29" t="s">
        <v>1072</v>
      </c>
      <c r="N29" t="s">
        <v>1073</v>
      </c>
      <c r="O29" t="s">
        <v>1074</v>
      </c>
      <c r="P29" t="s">
        <v>1075</v>
      </c>
      <c r="Q29" t="s">
        <v>1076</v>
      </c>
      <c r="R29" t="s">
        <v>1077</v>
      </c>
      <c r="S29" t="s">
        <v>1078</v>
      </c>
      <c r="T29" t="s">
        <v>1079</v>
      </c>
      <c r="U29" t="s">
        <v>1080</v>
      </c>
      <c r="V29" t="s">
        <v>1081</v>
      </c>
      <c r="W29" t="s">
        <v>1082</v>
      </c>
      <c r="X29">
        <v>20240630</v>
      </c>
      <c r="Y29" t="s">
        <v>1083</v>
      </c>
      <c r="Z29" t="s">
        <v>1084</v>
      </c>
      <c r="AA29" s="11" t="str">
        <f t="shared" si="0"/>
        <v>EXEC [dbo].[BalanceGeneralInsertar] @Nivel ='Auxiliar',@Transaccional ='Sí',@CodigoCuentaContable ='11100501', @NombreCuentaContable ='Moneda nacional',@Identificacion ='901037101',@Sucursal ='',@NombreTercero ='CO-WORK LATAM COLOMBIA S.A.S',@SaldoInicial = -2931231.8,@MovimientoDebito = 0,@MovimientoCredito =0,@SaldoFinal = 0,@Fecha ='20240630',@IdentificacionCliente = '901434038';</v>
      </c>
      <c r="AB29" t="s">
        <v>1085</v>
      </c>
    </row>
    <row r="30" spans="1:28" x14ac:dyDescent="0.25">
      <c r="A30" s="2" t="s">
        <v>28</v>
      </c>
      <c r="B30" s="2" t="s">
        <v>29</v>
      </c>
      <c r="C30" s="2" t="s">
        <v>30</v>
      </c>
      <c r="D30" s="2" t="s">
        <v>27</v>
      </c>
      <c r="E30" s="2" t="s">
        <v>65</v>
      </c>
      <c r="F30" s="2"/>
      <c r="G30" s="2" t="s">
        <v>66</v>
      </c>
      <c r="H30" s="3">
        <v>-2161000</v>
      </c>
      <c r="I30" s="3">
        <v>0</v>
      </c>
      <c r="J30" s="3">
        <v>0</v>
      </c>
      <c r="K30" s="3">
        <v>-2161000</v>
      </c>
      <c r="L30" t="s">
        <v>1071</v>
      </c>
      <c r="M30" t="s">
        <v>1072</v>
      </c>
      <c r="N30" t="s">
        <v>1073</v>
      </c>
      <c r="O30" t="s">
        <v>1074</v>
      </c>
      <c r="P30" t="s">
        <v>1075</v>
      </c>
      <c r="Q30" t="s">
        <v>1076</v>
      </c>
      <c r="R30" t="s">
        <v>1077</v>
      </c>
      <c r="S30" t="s">
        <v>1078</v>
      </c>
      <c r="T30" t="s">
        <v>1079</v>
      </c>
      <c r="U30" t="s">
        <v>1080</v>
      </c>
      <c r="V30" t="s">
        <v>1081</v>
      </c>
      <c r="W30" t="s">
        <v>1082</v>
      </c>
      <c r="X30">
        <v>20240630</v>
      </c>
      <c r="Y30" t="s">
        <v>1083</v>
      </c>
      <c r="Z30" t="s">
        <v>1084</v>
      </c>
      <c r="AA30" s="11" t="str">
        <f t="shared" si="0"/>
        <v>EXEC [dbo].[BalanceGeneralInsertar] @Nivel ='Auxiliar',@Transaccional ='Sí',@CodigoCuentaContable ='11100501', @NombreCuentaContable ='Moneda nacional',@Identificacion ='900889468',@Sucursal ='',@NombreTercero ='PALMA DE WEB SAS',@SaldoInicial = -2161000,@MovimientoDebito = 0,@MovimientoCredito =0,@SaldoFinal = 0,@Fecha ='20240630',@IdentificacionCliente = '901434038';</v>
      </c>
      <c r="AB30" t="s">
        <v>1085</v>
      </c>
    </row>
    <row r="31" spans="1:28" x14ac:dyDescent="0.25">
      <c r="A31" s="2" t="s">
        <v>28</v>
      </c>
      <c r="B31" s="2" t="s">
        <v>29</v>
      </c>
      <c r="C31" s="2" t="s">
        <v>30</v>
      </c>
      <c r="D31" s="2" t="s">
        <v>27</v>
      </c>
      <c r="E31" s="2" t="s">
        <v>67</v>
      </c>
      <c r="F31" s="2"/>
      <c r="G31" s="2" t="s">
        <v>68</v>
      </c>
      <c r="H31" s="3">
        <v>0</v>
      </c>
      <c r="I31" s="3">
        <v>5441481</v>
      </c>
      <c r="J31" s="3">
        <v>0</v>
      </c>
      <c r="K31" s="3">
        <v>5441481</v>
      </c>
      <c r="L31" t="s">
        <v>1071</v>
      </c>
      <c r="M31" t="s">
        <v>1072</v>
      </c>
      <c r="N31" t="s">
        <v>1073</v>
      </c>
      <c r="O31" t="s">
        <v>1074</v>
      </c>
      <c r="P31" t="s">
        <v>1075</v>
      </c>
      <c r="Q31" t="s">
        <v>1076</v>
      </c>
      <c r="R31" t="s">
        <v>1077</v>
      </c>
      <c r="S31" t="s">
        <v>1078</v>
      </c>
      <c r="T31" t="s">
        <v>1079</v>
      </c>
      <c r="U31" t="s">
        <v>1080</v>
      </c>
      <c r="V31" t="s">
        <v>1081</v>
      </c>
      <c r="W31" t="s">
        <v>1082</v>
      </c>
      <c r="X31">
        <v>20240630</v>
      </c>
      <c r="Y31" t="s">
        <v>1083</v>
      </c>
      <c r="Z31" t="s">
        <v>1084</v>
      </c>
      <c r="AA31" s="11" t="str">
        <f t="shared" si="0"/>
        <v>EXEC [dbo].[BalanceGeneralInsertar] @Nivel ='Auxiliar',@Transaccional ='Sí',@CodigoCuentaContable ='11100501', @NombreCuentaContable ='Moneda nacional',@Identificacion ='805020770',@Sucursal ='',@NombreTercero ='EUTOESTETICA SAS',@SaldoInicial = 0,@MovimientoDebito = 5441481,@MovimientoCredito =0,@SaldoFinal = 0,@Fecha ='20240630',@IdentificacionCliente = '901434038';</v>
      </c>
      <c r="AB31" t="s">
        <v>1085</v>
      </c>
    </row>
    <row r="32" spans="1:28" x14ac:dyDescent="0.25">
      <c r="A32" s="2" t="s">
        <v>28</v>
      </c>
      <c r="B32" s="2" t="s">
        <v>29</v>
      </c>
      <c r="C32" s="2" t="s">
        <v>30</v>
      </c>
      <c r="D32" s="2" t="s">
        <v>27</v>
      </c>
      <c r="E32" s="2" t="s">
        <v>69</v>
      </c>
      <c r="F32" s="2"/>
      <c r="G32" s="2" t="s">
        <v>70</v>
      </c>
      <c r="H32" s="3" t="s">
        <v>693</v>
      </c>
      <c r="I32" s="3">
        <v>0</v>
      </c>
      <c r="J32" s="3">
        <v>0</v>
      </c>
      <c r="K32" s="3" t="s">
        <v>693</v>
      </c>
      <c r="L32" t="s">
        <v>1071</v>
      </c>
      <c r="M32" t="s">
        <v>1072</v>
      </c>
      <c r="N32" t="s">
        <v>1073</v>
      </c>
      <c r="O32" t="s">
        <v>1074</v>
      </c>
      <c r="P32" t="s">
        <v>1075</v>
      </c>
      <c r="Q32" t="s">
        <v>1076</v>
      </c>
      <c r="R32" t="s">
        <v>1077</v>
      </c>
      <c r="S32" t="s">
        <v>1078</v>
      </c>
      <c r="T32" t="s">
        <v>1079</v>
      </c>
      <c r="U32" t="s">
        <v>1080</v>
      </c>
      <c r="V32" t="s">
        <v>1081</v>
      </c>
      <c r="W32" t="s">
        <v>1082</v>
      </c>
      <c r="X32">
        <v>20240630</v>
      </c>
      <c r="Y32" t="s">
        <v>1083</v>
      </c>
      <c r="Z32" t="s">
        <v>1084</v>
      </c>
      <c r="AA32" s="11" t="str">
        <f t="shared" si="0"/>
        <v>EXEC [dbo].[BalanceGeneralInsertar] @Nivel ='Auxiliar',@Transaccional ='Sí',@CodigoCuentaContable ='11100501', @NombreCuentaContable ='Moneda nacional',@Identificacion ='900379427',@Sucursal ='',@NombreTercero ='INVERSIONES LAC SAS',@SaldoInicial = -129385416.84,@MovimientoDebito = 0,@MovimientoCredito =0,@SaldoFinal = 0,@Fecha ='20240630',@IdentificacionCliente = '901434038';</v>
      </c>
      <c r="AB32" t="s">
        <v>1085</v>
      </c>
    </row>
    <row r="33" spans="1:28" x14ac:dyDescent="0.25">
      <c r="A33" s="2" t="s">
        <v>28</v>
      </c>
      <c r="B33" s="2" t="s">
        <v>29</v>
      </c>
      <c r="C33" s="2" t="s">
        <v>30</v>
      </c>
      <c r="D33" s="2" t="s">
        <v>27</v>
      </c>
      <c r="E33" s="2" t="s">
        <v>71</v>
      </c>
      <c r="F33" s="2"/>
      <c r="G33" s="2" t="s">
        <v>72</v>
      </c>
      <c r="H33" s="3" t="s">
        <v>694</v>
      </c>
      <c r="I33" s="3" t="s">
        <v>695</v>
      </c>
      <c r="J33" s="3">
        <v>0</v>
      </c>
      <c r="K33" s="3" t="s">
        <v>696</v>
      </c>
      <c r="L33" t="s">
        <v>1071</v>
      </c>
      <c r="M33" t="s">
        <v>1072</v>
      </c>
      <c r="N33" t="s">
        <v>1073</v>
      </c>
      <c r="O33" t="s">
        <v>1074</v>
      </c>
      <c r="P33" t="s">
        <v>1075</v>
      </c>
      <c r="Q33" t="s">
        <v>1076</v>
      </c>
      <c r="R33" t="s">
        <v>1077</v>
      </c>
      <c r="S33" t="s">
        <v>1078</v>
      </c>
      <c r="T33" t="s">
        <v>1079</v>
      </c>
      <c r="U33" t="s">
        <v>1080</v>
      </c>
      <c r="V33" t="s">
        <v>1081</v>
      </c>
      <c r="W33" t="s">
        <v>1082</v>
      </c>
      <c r="X33">
        <v>20240630</v>
      </c>
      <c r="Y33" t="s">
        <v>1083</v>
      </c>
      <c r="Z33" t="s">
        <v>1084</v>
      </c>
      <c r="AA33" s="11" t="str">
        <f t="shared" si="0"/>
        <v>EXEC [dbo].[BalanceGeneralInsertar] @Nivel ='Auxiliar',@Transaccional ='Sí',@CodigoCuentaContable ='11100501', @NombreCuentaContable ='Moneda nacional',@Identificacion ='901477526',@Sucursal ='',@NombreTercero ='SABANA MEDICAL SPA SAS',@SaldoInicial = 87883312.78,@MovimientoDebito = 15852387.78,@MovimientoCredito =0,@SaldoFinal = 0,@Fecha ='20240630',@IdentificacionCliente = '901434038';</v>
      </c>
      <c r="AB33" t="s">
        <v>1085</v>
      </c>
    </row>
    <row r="34" spans="1:28" x14ac:dyDescent="0.25">
      <c r="A34" s="2" t="s">
        <v>28</v>
      </c>
      <c r="B34" s="2" t="s">
        <v>29</v>
      </c>
      <c r="C34" s="2" t="s">
        <v>30</v>
      </c>
      <c r="D34" s="2" t="s">
        <v>27</v>
      </c>
      <c r="E34" s="2" t="s">
        <v>73</v>
      </c>
      <c r="F34" s="2"/>
      <c r="G34" s="2" t="s">
        <v>74</v>
      </c>
      <c r="H34" s="3" t="s">
        <v>697</v>
      </c>
      <c r="I34" s="3">
        <v>0</v>
      </c>
      <c r="J34" s="3">
        <v>0</v>
      </c>
      <c r="K34" s="3" t="s">
        <v>697</v>
      </c>
      <c r="L34" t="s">
        <v>1071</v>
      </c>
      <c r="M34" t="s">
        <v>1072</v>
      </c>
      <c r="N34" t="s">
        <v>1073</v>
      </c>
      <c r="O34" t="s">
        <v>1074</v>
      </c>
      <c r="P34" t="s">
        <v>1075</v>
      </c>
      <c r="Q34" t="s">
        <v>1076</v>
      </c>
      <c r="R34" t="s">
        <v>1077</v>
      </c>
      <c r="S34" t="s">
        <v>1078</v>
      </c>
      <c r="T34" t="s">
        <v>1079</v>
      </c>
      <c r="U34" t="s">
        <v>1080</v>
      </c>
      <c r="V34" t="s">
        <v>1081</v>
      </c>
      <c r="W34" t="s">
        <v>1082</v>
      </c>
      <c r="X34">
        <v>20240630</v>
      </c>
      <c r="Y34" t="s">
        <v>1083</v>
      </c>
      <c r="Z34" t="s">
        <v>1084</v>
      </c>
      <c r="AA34" s="11" t="str">
        <f t="shared" si="0"/>
        <v>EXEC [dbo].[BalanceGeneralInsertar] @Nivel ='Auxiliar',@Transaccional ='Sí',@CodigoCuentaContable ='11100501', @NombreCuentaContable ='Moneda nacional',@Identificacion ='901020041',@Sucursal ='',@NombreTercero ='BENESSERE S.A.S',@SaldoInicial = 312636004.33,@MovimientoDebito = 0,@MovimientoCredito =0,@SaldoFinal = 0,@Fecha ='20240630',@IdentificacionCliente = '901434038';</v>
      </c>
      <c r="AB34" t="s">
        <v>1085</v>
      </c>
    </row>
    <row r="35" spans="1:28" x14ac:dyDescent="0.25">
      <c r="A35" s="2" t="s">
        <v>28</v>
      </c>
      <c r="B35" s="2" t="s">
        <v>29</v>
      </c>
      <c r="C35" s="2" t="s">
        <v>30</v>
      </c>
      <c r="D35" s="2" t="s">
        <v>27</v>
      </c>
      <c r="E35" s="2" t="s">
        <v>75</v>
      </c>
      <c r="F35" s="2"/>
      <c r="G35" s="2" t="s">
        <v>76</v>
      </c>
      <c r="H35" s="3">
        <v>-1300000</v>
      </c>
      <c r="I35" s="3">
        <v>0</v>
      </c>
      <c r="J35" s="3">
        <v>0</v>
      </c>
      <c r="K35" s="3">
        <v>-1300000</v>
      </c>
      <c r="L35" t="s">
        <v>1071</v>
      </c>
      <c r="M35" t="s">
        <v>1072</v>
      </c>
      <c r="N35" t="s">
        <v>1073</v>
      </c>
      <c r="O35" t="s">
        <v>1074</v>
      </c>
      <c r="P35" t="s">
        <v>1075</v>
      </c>
      <c r="Q35" t="s">
        <v>1076</v>
      </c>
      <c r="R35" t="s">
        <v>1077</v>
      </c>
      <c r="S35" t="s">
        <v>1078</v>
      </c>
      <c r="T35" t="s">
        <v>1079</v>
      </c>
      <c r="U35" t="s">
        <v>1080</v>
      </c>
      <c r="V35" t="s">
        <v>1081</v>
      </c>
      <c r="W35" t="s">
        <v>1082</v>
      </c>
      <c r="X35">
        <v>20240630</v>
      </c>
      <c r="Y35" t="s">
        <v>1083</v>
      </c>
      <c r="Z35" t="s">
        <v>1084</v>
      </c>
      <c r="AA35" s="11" t="str">
        <f t="shared" si="0"/>
        <v>EXEC [dbo].[BalanceGeneralInsertar] @Nivel ='Auxiliar',@Transaccional ='Sí',@CodigoCuentaContable ='11100501', @NombreCuentaContable ='Moneda nacional',@Identificacion ='1037607710',@Sucursal ='',@NombreTercero ='MANUELA DUQUE MOLINA',@SaldoInicial = -1300000,@MovimientoDebito = 0,@MovimientoCredito =0,@SaldoFinal = 0,@Fecha ='20240630',@IdentificacionCliente = '901434038';</v>
      </c>
      <c r="AB35" t="s">
        <v>1085</v>
      </c>
    </row>
    <row r="36" spans="1:28" x14ac:dyDescent="0.25">
      <c r="A36" s="2" t="s">
        <v>28</v>
      </c>
      <c r="B36" s="2" t="s">
        <v>29</v>
      </c>
      <c r="C36" s="2" t="s">
        <v>30</v>
      </c>
      <c r="D36" s="2" t="s">
        <v>27</v>
      </c>
      <c r="E36" s="2" t="s">
        <v>77</v>
      </c>
      <c r="F36" s="2"/>
      <c r="G36" s="2" t="s">
        <v>78</v>
      </c>
      <c r="H36" s="3">
        <v>4285360</v>
      </c>
      <c r="I36" s="3">
        <v>0</v>
      </c>
      <c r="J36" s="3">
        <v>0</v>
      </c>
      <c r="K36" s="3">
        <v>4285360</v>
      </c>
      <c r="L36" t="s">
        <v>1071</v>
      </c>
      <c r="M36" t="s">
        <v>1072</v>
      </c>
      <c r="N36" t="s">
        <v>1073</v>
      </c>
      <c r="O36" t="s">
        <v>1074</v>
      </c>
      <c r="P36" t="s">
        <v>1075</v>
      </c>
      <c r="Q36" t="s">
        <v>1076</v>
      </c>
      <c r="R36" t="s">
        <v>1077</v>
      </c>
      <c r="S36" t="s">
        <v>1078</v>
      </c>
      <c r="T36" t="s">
        <v>1079</v>
      </c>
      <c r="U36" t="s">
        <v>1080</v>
      </c>
      <c r="V36" t="s">
        <v>1081</v>
      </c>
      <c r="W36" t="s">
        <v>1082</v>
      </c>
      <c r="X36">
        <v>20240630</v>
      </c>
      <c r="Y36" t="s">
        <v>1083</v>
      </c>
      <c r="Z36" t="s">
        <v>1084</v>
      </c>
      <c r="AA36" s="11" t="str">
        <f t="shared" si="0"/>
        <v>EXEC [dbo].[BalanceGeneralInsertar] @Nivel ='Auxiliar',@Transaccional ='Sí',@CodigoCuentaContable ='11100501', @NombreCuentaContable ='Moneda nacional',@Identificacion ='900161580',@Sucursal ='',@NombreTercero ='ORGANIZACION SANTAMARIA SAS',@SaldoInicial = 4285360,@MovimientoDebito = 0,@MovimientoCredito =0,@SaldoFinal = 0,@Fecha ='20240630',@IdentificacionCliente = '901434038';</v>
      </c>
      <c r="AB36" t="s">
        <v>1085</v>
      </c>
    </row>
    <row r="37" spans="1:28" x14ac:dyDescent="0.25">
      <c r="A37" s="2" t="s">
        <v>28</v>
      </c>
      <c r="B37" s="2" t="s">
        <v>29</v>
      </c>
      <c r="C37" s="2" t="s">
        <v>30</v>
      </c>
      <c r="D37" s="2" t="s">
        <v>27</v>
      </c>
      <c r="E37" s="2" t="s">
        <v>79</v>
      </c>
      <c r="F37" s="2"/>
      <c r="G37" s="2" t="s">
        <v>80</v>
      </c>
      <c r="H37" s="3">
        <v>10474375</v>
      </c>
      <c r="I37" s="3">
        <v>0</v>
      </c>
      <c r="J37" s="3">
        <v>0</v>
      </c>
      <c r="K37" s="3">
        <v>10474375</v>
      </c>
      <c r="L37" t="s">
        <v>1071</v>
      </c>
      <c r="M37" t="s">
        <v>1072</v>
      </c>
      <c r="N37" t="s">
        <v>1073</v>
      </c>
      <c r="O37" t="s">
        <v>1074</v>
      </c>
      <c r="P37" t="s">
        <v>1075</v>
      </c>
      <c r="Q37" t="s">
        <v>1076</v>
      </c>
      <c r="R37" t="s">
        <v>1077</v>
      </c>
      <c r="S37" t="s">
        <v>1078</v>
      </c>
      <c r="T37" t="s">
        <v>1079</v>
      </c>
      <c r="U37" t="s">
        <v>1080</v>
      </c>
      <c r="V37" t="s">
        <v>1081</v>
      </c>
      <c r="W37" t="s">
        <v>1082</v>
      </c>
      <c r="X37">
        <v>20240630</v>
      </c>
      <c r="Y37" t="s">
        <v>1083</v>
      </c>
      <c r="Z37" t="s">
        <v>1084</v>
      </c>
      <c r="AA37" s="11" t="str">
        <f t="shared" si="0"/>
        <v>EXEC [dbo].[BalanceGeneralInsertar] @Nivel ='Auxiliar',@Transaccional ='Sí',@CodigoCuentaContable ='11100501', @NombreCuentaContable ='Moneda nacional',@Identificacion ='901456421',@Sucursal ='',@NombreTercero ='DELUXE ORIENTE S.A.S',@SaldoInicial = 10474375,@MovimientoDebito = 0,@MovimientoCredito =0,@SaldoFinal = 0,@Fecha ='20240630',@IdentificacionCliente = '901434038';</v>
      </c>
      <c r="AB37" t="s">
        <v>1085</v>
      </c>
    </row>
    <row r="38" spans="1:28" x14ac:dyDescent="0.25">
      <c r="A38" s="2" t="s">
        <v>28</v>
      </c>
      <c r="B38" s="2" t="s">
        <v>29</v>
      </c>
      <c r="C38" s="2" t="s">
        <v>30</v>
      </c>
      <c r="D38" s="2" t="s">
        <v>27</v>
      </c>
      <c r="E38" s="2" t="s">
        <v>81</v>
      </c>
      <c r="F38" s="2"/>
      <c r="G38" s="2" t="s">
        <v>82</v>
      </c>
      <c r="H38" s="3">
        <v>5652087</v>
      </c>
      <c r="I38" s="3">
        <v>0</v>
      </c>
      <c r="J38" s="3">
        <v>0</v>
      </c>
      <c r="K38" s="3">
        <v>5652087</v>
      </c>
      <c r="L38" t="s">
        <v>1071</v>
      </c>
      <c r="M38" t="s">
        <v>1072</v>
      </c>
      <c r="N38" t="s">
        <v>1073</v>
      </c>
      <c r="O38" t="s">
        <v>1074</v>
      </c>
      <c r="P38" t="s">
        <v>1075</v>
      </c>
      <c r="Q38" t="s">
        <v>1076</v>
      </c>
      <c r="R38" t="s">
        <v>1077</v>
      </c>
      <c r="S38" t="s">
        <v>1078</v>
      </c>
      <c r="T38" t="s">
        <v>1079</v>
      </c>
      <c r="U38" t="s">
        <v>1080</v>
      </c>
      <c r="V38" t="s">
        <v>1081</v>
      </c>
      <c r="W38" t="s">
        <v>1082</v>
      </c>
      <c r="X38">
        <v>20240630</v>
      </c>
      <c r="Y38" t="s">
        <v>1083</v>
      </c>
      <c r="Z38" t="s">
        <v>1084</v>
      </c>
      <c r="AA38" s="11" t="str">
        <f t="shared" si="0"/>
        <v>EXEC [dbo].[BalanceGeneralInsertar] @Nivel ='Auxiliar',@Transaccional ='Sí',@CodigoCuentaContable ='11100501', @NombreCuentaContable ='Moneda nacional',@Identificacion ='1067897357',@Sucursal ='',@NombreTercero ='KATERINE SAEZ ZABALETA',@SaldoInicial = 5652087,@MovimientoDebito = 0,@MovimientoCredito =0,@SaldoFinal = 0,@Fecha ='20240630',@IdentificacionCliente = '901434038';</v>
      </c>
      <c r="AB38" t="s">
        <v>1085</v>
      </c>
    </row>
    <row r="39" spans="1:28" x14ac:dyDescent="0.25">
      <c r="A39" s="2" t="s">
        <v>28</v>
      </c>
      <c r="B39" s="2" t="s">
        <v>29</v>
      </c>
      <c r="C39" s="2" t="s">
        <v>30</v>
      </c>
      <c r="D39" s="2" t="s">
        <v>27</v>
      </c>
      <c r="E39" s="2" t="s">
        <v>83</v>
      </c>
      <c r="F39" s="2"/>
      <c r="G39" s="2" t="s">
        <v>84</v>
      </c>
      <c r="H39" s="3" t="s">
        <v>698</v>
      </c>
      <c r="I39" s="3">
        <v>0</v>
      </c>
      <c r="J39" s="3">
        <v>0</v>
      </c>
      <c r="K39" s="3" t="s">
        <v>698</v>
      </c>
      <c r="L39" t="s">
        <v>1071</v>
      </c>
      <c r="M39" t="s">
        <v>1072</v>
      </c>
      <c r="N39" t="s">
        <v>1073</v>
      </c>
      <c r="O39" t="s">
        <v>1074</v>
      </c>
      <c r="P39" t="s">
        <v>1075</v>
      </c>
      <c r="Q39" t="s">
        <v>1076</v>
      </c>
      <c r="R39" t="s">
        <v>1077</v>
      </c>
      <c r="S39" t="s">
        <v>1078</v>
      </c>
      <c r="T39" t="s">
        <v>1079</v>
      </c>
      <c r="U39" t="s">
        <v>1080</v>
      </c>
      <c r="V39" t="s">
        <v>1081</v>
      </c>
      <c r="W39" t="s">
        <v>1082</v>
      </c>
      <c r="X39">
        <v>20240630</v>
      </c>
      <c r="Y39" t="s">
        <v>1083</v>
      </c>
      <c r="Z39" t="s">
        <v>1084</v>
      </c>
      <c r="AA39" s="11" t="str">
        <f t="shared" si="0"/>
        <v>EXEC [dbo].[BalanceGeneralInsertar] @Nivel ='Auxiliar',@Transaccional ='Sí',@CodigoCuentaContable ='11100501', @NombreCuentaContable ='Moneda nacional',@Identificacion ='830081040',@Sucursal ='',@NombreTercero ='INSTITUTO DE ESTETICA MEDICA DE COLOMBIA LTDA.',@SaldoInicial = 85488562.52,@MovimientoDebito = 0,@MovimientoCredito =0,@SaldoFinal = 0,@Fecha ='20240630',@IdentificacionCliente = '901434038';</v>
      </c>
      <c r="AB39" t="s">
        <v>1085</v>
      </c>
    </row>
    <row r="40" spans="1:28" x14ac:dyDescent="0.25">
      <c r="A40" s="2" t="s">
        <v>28</v>
      </c>
      <c r="B40" s="2" t="s">
        <v>29</v>
      </c>
      <c r="C40" s="2" t="s">
        <v>30</v>
      </c>
      <c r="D40" s="2" t="s">
        <v>27</v>
      </c>
      <c r="E40" s="2" t="s">
        <v>85</v>
      </c>
      <c r="F40" s="2"/>
      <c r="G40" s="2" t="s">
        <v>86</v>
      </c>
      <c r="H40" s="3" t="s">
        <v>699</v>
      </c>
      <c r="I40" s="3">
        <v>7900000</v>
      </c>
      <c r="J40" s="3">
        <v>0</v>
      </c>
      <c r="K40" s="3" t="s">
        <v>700</v>
      </c>
      <c r="L40" t="s">
        <v>1071</v>
      </c>
      <c r="M40" t="s">
        <v>1072</v>
      </c>
      <c r="N40" t="s">
        <v>1073</v>
      </c>
      <c r="O40" t="s">
        <v>1074</v>
      </c>
      <c r="P40" t="s">
        <v>1075</v>
      </c>
      <c r="Q40" t="s">
        <v>1076</v>
      </c>
      <c r="R40" t="s">
        <v>1077</v>
      </c>
      <c r="S40" t="s">
        <v>1078</v>
      </c>
      <c r="T40" t="s">
        <v>1079</v>
      </c>
      <c r="U40" t="s">
        <v>1080</v>
      </c>
      <c r="V40" t="s">
        <v>1081</v>
      </c>
      <c r="W40" t="s">
        <v>1082</v>
      </c>
      <c r="X40">
        <v>20240630</v>
      </c>
      <c r="Y40" t="s">
        <v>1083</v>
      </c>
      <c r="Z40" t="s">
        <v>1084</v>
      </c>
      <c r="AA40" s="11" t="str">
        <f t="shared" si="0"/>
        <v>EXEC [dbo].[BalanceGeneralInsertar] @Nivel ='Auxiliar',@Transaccional ='Sí',@CodigoCuentaContable ='11100501', @NombreCuentaContable ='Moneda nacional',@Identificacion ='901476016',@Sucursal ='',@NombreTercero ='ALESTETIC RIONEGRO S.A.S',@SaldoInicial = 166554515.62,@MovimientoDebito = 7900000,@MovimientoCredito =0,@SaldoFinal = 0,@Fecha ='20240630',@IdentificacionCliente = '901434038';</v>
      </c>
      <c r="AB40" t="s">
        <v>1085</v>
      </c>
    </row>
    <row r="41" spans="1:28" x14ac:dyDescent="0.25">
      <c r="A41" s="2" t="s">
        <v>28</v>
      </c>
      <c r="B41" s="2" t="s">
        <v>29</v>
      </c>
      <c r="C41" s="2" t="s">
        <v>30</v>
      </c>
      <c r="D41" s="2" t="s">
        <v>27</v>
      </c>
      <c r="E41" s="2" t="s">
        <v>87</v>
      </c>
      <c r="F41" s="2"/>
      <c r="G41" s="2" t="s">
        <v>88</v>
      </c>
      <c r="H41" s="3">
        <v>100606734</v>
      </c>
      <c r="I41" s="3">
        <v>0</v>
      </c>
      <c r="J41" s="3">
        <v>0</v>
      </c>
      <c r="K41" s="3">
        <v>100606734</v>
      </c>
      <c r="L41" t="s">
        <v>1071</v>
      </c>
      <c r="M41" t="s">
        <v>1072</v>
      </c>
      <c r="N41" t="s">
        <v>1073</v>
      </c>
      <c r="O41" t="s">
        <v>1074</v>
      </c>
      <c r="P41" t="s">
        <v>1075</v>
      </c>
      <c r="Q41" t="s">
        <v>1076</v>
      </c>
      <c r="R41" t="s">
        <v>1077</v>
      </c>
      <c r="S41" t="s">
        <v>1078</v>
      </c>
      <c r="T41" t="s">
        <v>1079</v>
      </c>
      <c r="U41" t="s">
        <v>1080</v>
      </c>
      <c r="V41" t="s">
        <v>1081</v>
      </c>
      <c r="W41" t="s">
        <v>1082</v>
      </c>
      <c r="X41">
        <v>20240630</v>
      </c>
      <c r="Y41" t="s">
        <v>1083</v>
      </c>
      <c r="Z41" t="s">
        <v>1084</v>
      </c>
      <c r="AA41" s="11" t="str">
        <f t="shared" si="0"/>
        <v>EXEC [dbo].[BalanceGeneralInsertar] @Nivel ='Auxiliar',@Transaccional ='Sí',@CodigoCuentaContable ='11100501', @NombreCuentaContable ='Moneda nacional',@Identificacion ='830054539',@Sucursal ='',@NombreTercero ='FIDUCIARIA BANCOLOMBIA S.A',@SaldoInicial = 100606734,@MovimientoDebito = 0,@MovimientoCredito =0,@SaldoFinal = 0,@Fecha ='20240630',@IdentificacionCliente = '901434038';</v>
      </c>
      <c r="AB41" t="s">
        <v>1085</v>
      </c>
    </row>
    <row r="42" spans="1:28" x14ac:dyDescent="0.25">
      <c r="A42" s="2" t="s">
        <v>28</v>
      </c>
      <c r="B42" s="2" t="s">
        <v>29</v>
      </c>
      <c r="C42" s="2" t="s">
        <v>30</v>
      </c>
      <c r="D42" s="2" t="s">
        <v>27</v>
      </c>
      <c r="E42" s="2" t="s">
        <v>89</v>
      </c>
      <c r="F42" s="2"/>
      <c r="G42" s="2" t="s">
        <v>90</v>
      </c>
      <c r="H42" s="3" t="s">
        <v>701</v>
      </c>
      <c r="I42" s="3">
        <v>0</v>
      </c>
      <c r="J42" s="3">
        <v>0</v>
      </c>
      <c r="K42" s="3" t="s">
        <v>701</v>
      </c>
      <c r="L42" t="s">
        <v>1071</v>
      </c>
      <c r="M42" t="s">
        <v>1072</v>
      </c>
      <c r="N42" t="s">
        <v>1073</v>
      </c>
      <c r="O42" t="s">
        <v>1074</v>
      </c>
      <c r="P42" t="s">
        <v>1075</v>
      </c>
      <c r="Q42" t="s">
        <v>1076</v>
      </c>
      <c r="R42" t="s">
        <v>1077</v>
      </c>
      <c r="S42" t="s">
        <v>1078</v>
      </c>
      <c r="T42" t="s">
        <v>1079</v>
      </c>
      <c r="U42" t="s">
        <v>1080</v>
      </c>
      <c r="V42" t="s">
        <v>1081</v>
      </c>
      <c r="W42" t="s">
        <v>1082</v>
      </c>
      <c r="X42">
        <v>20240630</v>
      </c>
      <c r="Y42" t="s">
        <v>1083</v>
      </c>
      <c r="Z42" t="s">
        <v>1084</v>
      </c>
      <c r="AA42" s="11" t="str">
        <f t="shared" si="0"/>
        <v>EXEC [dbo].[BalanceGeneralInsertar] @Nivel ='Auxiliar',@Transaccional ='Sí',@CodigoCuentaContable ='11100501', @NombreCuentaContable ='Moneda nacional',@Identificacion ='900192072',@Sucursal ='',@NombreTercero ='SEOUL MEDICINA ESTETICA INTEGRAL Y SPA S.A.',@SaldoInicial = 27177032.38,@MovimientoDebito = 0,@MovimientoCredito =0,@SaldoFinal = 0,@Fecha ='20240630',@IdentificacionCliente = '901434038';</v>
      </c>
      <c r="AB42" t="s">
        <v>1085</v>
      </c>
    </row>
    <row r="43" spans="1:28" x14ac:dyDescent="0.25">
      <c r="A43" s="2" t="s">
        <v>28</v>
      </c>
      <c r="B43" s="2" t="s">
        <v>29</v>
      </c>
      <c r="C43" s="2" t="s">
        <v>30</v>
      </c>
      <c r="D43" s="2" t="s">
        <v>27</v>
      </c>
      <c r="E43" s="2" t="s">
        <v>91</v>
      </c>
      <c r="F43" s="2"/>
      <c r="G43" s="2" t="s">
        <v>92</v>
      </c>
      <c r="H43" s="3">
        <v>1875678</v>
      </c>
      <c r="I43" s="3">
        <v>0</v>
      </c>
      <c r="J43" s="3">
        <v>0</v>
      </c>
      <c r="K43" s="3">
        <v>1875678</v>
      </c>
      <c r="L43" t="s">
        <v>1071</v>
      </c>
      <c r="M43" t="s">
        <v>1072</v>
      </c>
      <c r="N43" t="s">
        <v>1073</v>
      </c>
      <c r="O43" t="s">
        <v>1074</v>
      </c>
      <c r="P43" t="s">
        <v>1075</v>
      </c>
      <c r="Q43" t="s">
        <v>1076</v>
      </c>
      <c r="R43" t="s">
        <v>1077</v>
      </c>
      <c r="S43" t="s">
        <v>1078</v>
      </c>
      <c r="T43" t="s">
        <v>1079</v>
      </c>
      <c r="U43" t="s">
        <v>1080</v>
      </c>
      <c r="V43" t="s">
        <v>1081</v>
      </c>
      <c r="W43" t="s">
        <v>1082</v>
      </c>
      <c r="X43">
        <v>20240630</v>
      </c>
      <c r="Y43" t="s">
        <v>1083</v>
      </c>
      <c r="Z43" t="s">
        <v>1084</v>
      </c>
      <c r="AA43" s="11" t="str">
        <f t="shared" si="0"/>
        <v>EXEC [dbo].[BalanceGeneralInsertar] @Nivel ='Auxiliar',@Transaccional ='Sí',@CodigoCuentaContable ='11100501', @NombreCuentaContable ='Moneda nacional',@Identificacion ='900308524',@Sucursal ='',@NombreTercero ='INTÉGRIM SAS',@SaldoInicial = 1875678,@MovimientoDebito = 0,@MovimientoCredito =0,@SaldoFinal = 0,@Fecha ='20240630',@IdentificacionCliente = '901434038';</v>
      </c>
      <c r="AB43" t="s">
        <v>1085</v>
      </c>
    </row>
    <row r="44" spans="1:28" x14ac:dyDescent="0.25">
      <c r="A44" s="2" t="s">
        <v>28</v>
      </c>
      <c r="B44" s="2" t="s">
        <v>29</v>
      </c>
      <c r="C44" s="2" t="s">
        <v>30</v>
      </c>
      <c r="D44" s="2" t="s">
        <v>27</v>
      </c>
      <c r="E44" s="2" t="s">
        <v>93</v>
      </c>
      <c r="F44" s="2"/>
      <c r="G44" s="2" t="s">
        <v>94</v>
      </c>
      <c r="H44" s="3">
        <v>19467246</v>
      </c>
      <c r="I44" s="3">
        <v>0</v>
      </c>
      <c r="J44" s="3">
        <v>0</v>
      </c>
      <c r="K44" s="3">
        <v>19467246</v>
      </c>
      <c r="L44" t="s">
        <v>1071</v>
      </c>
      <c r="M44" t="s">
        <v>1072</v>
      </c>
      <c r="N44" t="s">
        <v>1073</v>
      </c>
      <c r="O44" t="s">
        <v>1074</v>
      </c>
      <c r="P44" t="s">
        <v>1075</v>
      </c>
      <c r="Q44" t="s">
        <v>1076</v>
      </c>
      <c r="R44" t="s">
        <v>1077</v>
      </c>
      <c r="S44" t="s">
        <v>1078</v>
      </c>
      <c r="T44" t="s">
        <v>1079</v>
      </c>
      <c r="U44" t="s">
        <v>1080</v>
      </c>
      <c r="V44" t="s">
        <v>1081</v>
      </c>
      <c r="W44" t="s">
        <v>1082</v>
      </c>
      <c r="X44">
        <v>20240630</v>
      </c>
      <c r="Y44" t="s">
        <v>1083</v>
      </c>
      <c r="Z44" t="s">
        <v>1084</v>
      </c>
      <c r="AA44" s="11" t="str">
        <f t="shared" si="0"/>
        <v>EXEC [dbo].[BalanceGeneralInsertar] @Nivel ='Auxiliar',@Transaccional ='Sí',@CodigoCuentaContable ='11100501', @NombreCuentaContable ='Moneda nacional',@Identificacion ='9900308524',@Sucursal ='',@NombreTercero ='INTÉGRIM S A S',@SaldoInicial = 19467246,@MovimientoDebito = 0,@MovimientoCredito =0,@SaldoFinal = 0,@Fecha ='20240630',@IdentificacionCliente = '901434038';</v>
      </c>
      <c r="AB44" t="s">
        <v>1085</v>
      </c>
    </row>
    <row r="45" spans="1:28" x14ac:dyDescent="0.25">
      <c r="A45" s="2" t="s">
        <v>28</v>
      </c>
      <c r="B45" s="2" t="s">
        <v>29</v>
      </c>
      <c r="C45" s="2" t="s">
        <v>30</v>
      </c>
      <c r="D45" s="2" t="s">
        <v>27</v>
      </c>
      <c r="E45" s="2" t="s">
        <v>95</v>
      </c>
      <c r="F45" s="2"/>
      <c r="G45" s="2" t="s">
        <v>96</v>
      </c>
      <c r="H45" s="3">
        <v>1043630</v>
      </c>
      <c r="I45" s="3">
        <v>0</v>
      </c>
      <c r="J45" s="3">
        <v>0</v>
      </c>
      <c r="K45" s="3">
        <v>1043630</v>
      </c>
      <c r="L45" t="s">
        <v>1071</v>
      </c>
      <c r="M45" t="s">
        <v>1072</v>
      </c>
      <c r="N45" t="s">
        <v>1073</v>
      </c>
      <c r="O45" t="s">
        <v>1074</v>
      </c>
      <c r="P45" t="s">
        <v>1075</v>
      </c>
      <c r="Q45" t="s">
        <v>1076</v>
      </c>
      <c r="R45" t="s">
        <v>1077</v>
      </c>
      <c r="S45" t="s">
        <v>1078</v>
      </c>
      <c r="T45" t="s">
        <v>1079</v>
      </c>
      <c r="U45" t="s">
        <v>1080</v>
      </c>
      <c r="V45" t="s">
        <v>1081</v>
      </c>
      <c r="W45" t="s">
        <v>1082</v>
      </c>
      <c r="X45">
        <v>20240630</v>
      </c>
      <c r="Y45" t="s">
        <v>1083</v>
      </c>
      <c r="Z45" t="s">
        <v>1084</v>
      </c>
      <c r="AA45" s="11" t="str">
        <f t="shared" si="0"/>
        <v>EXEC [dbo].[BalanceGeneralInsertar] @Nivel ='Auxiliar',@Transaccional ='Sí',@CodigoCuentaContable ='11100501', @NombreCuentaContable ='Moneda nacional',@Identificacion ='900362559',@Sucursal ='',@NombreTercero ='INSTITUTO DE CIRUGÍA PLÁSTICA RECONSTRUCTIVA Y SALUD ESTÉTICAVITALUM I.P.S S.A.S',@SaldoInicial = 1043630,@MovimientoDebito = 0,@MovimientoCredito =0,@SaldoFinal = 0,@Fecha ='20240630',@IdentificacionCliente = '901434038';</v>
      </c>
      <c r="AB45" t="s">
        <v>1085</v>
      </c>
    </row>
    <row r="46" spans="1:28" x14ac:dyDescent="0.25">
      <c r="A46" s="2" t="s">
        <v>28</v>
      </c>
      <c r="B46" s="2" t="s">
        <v>29</v>
      </c>
      <c r="C46" s="2" t="s">
        <v>30</v>
      </c>
      <c r="D46" s="2" t="s">
        <v>27</v>
      </c>
      <c r="E46" s="2" t="s">
        <v>97</v>
      </c>
      <c r="F46" s="2"/>
      <c r="G46" s="2" t="s">
        <v>98</v>
      </c>
      <c r="H46" s="3">
        <v>571200</v>
      </c>
      <c r="I46" s="3">
        <v>0</v>
      </c>
      <c r="J46" s="3">
        <v>0</v>
      </c>
      <c r="K46" s="3">
        <v>571200</v>
      </c>
      <c r="L46" t="s">
        <v>1071</v>
      </c>
      <c r="M46" t="s">
        <v>1072</v>
      </c>
      <c r="N46" t="s">
        <v>1073</v>
      </c>
      <c r="O46" t="s">
        <v>1074</v>
      </c>
      <c r="P46" t="s">
        <v>1075</v>
      </c>
      <c r="Q46" t="s">
        <v>1076</v>
      </c>
      <c r="R46" t="s">
        <v>1077</v>
      </c>
      <c r="S46" t="s">
        <v>1078</v>
      </c>
      <c r="T46" t="s">
        <v>1079</v>
      </c>
      <c r="U46" t="s">
        <v>1080</v>
      </c>
      <c r="V46" t="s">
        <v>1081</v>
      </c>
      <c r="W46" t="s">
        <v>1082</v>
      </c>
      <c r="X46">
        <v>20240630</v>
      </c>
      <c r="Y46" t="s">
        <v>1083</v>
      </c>
      <c r="Z46" t="s">
        <v>1084</v>
      </c>
      <c r="AA46" s="11" t="str">
        <f t="shared" si="0"/>
        <v>EXEC [dbo].[BalanceGeneralInsertar] @Nivel ='Auxiliar',@Transaccional ='Sí',@CodigoCuentaContable ='11100501', @NombreCuentaContable ='Moneda nacional',@Identificacion ='32936199',@Sucursal ='',@NombreTercero ='ALEIDA MARIA GIRALDO CASTRO',@SaldoInicial = 571200,@MovimientoDebito = 0,@MovimientoCredito =0,@SaldoFinal = 0,@Fecha ='20240630',@IdentificacionCliente = '901434038';</v>
      </c>
      <c r="AB46" t="s">
        <v>1085</v>
      </c>
    </row>
    <row r="47" spans="1:28" x14ac:dyDescent="0.25">
      <c r="A47" s="2" t="s">
        <v>28</v>
      </c>
      <c r="B47" s="2" t="s">
        <v>29</v>
      </c>
      <c r="C47" s="2" t="s">
        <v>30</v>
      </c>
      <c r="D47" s="2" t="s">
        <v>27</v>
      </c>
      <c r="E47" s="2" t="s">
        <v>99</v>
      </c>
      <c r="F47" s="2"/>
      <c r="G47" s="2" t="s">
        <v>100</v>
      </c>
      <c r="H47" s="3">
        <v>-1326160028</v>
      </c>
      <c r="I47" s="3">
        <v>0</v>
      </c>
      <c r="J47" s="3">
        <v>0</v>
      </c>
      <c r="K47" s="3">
        <v>-1326160028</v>
      </c>
      <c r="L47" t="s">
        <v>1071</v>
      </c>
      <c r="M47" t="s">
        <v>1072</v>
      </c>
      <c r="N47" t="s">
        <v>1073</v>
      </c>
      <c r="O47" t="s">
        <v>1074</v>
      </c>
      <c r="P47" t="s">
        <v>1075</v>
      </c>
      <c r="Q47" t="s">
        <v>1076</v>
      </c>
      <c r="R47" t="s">
        <v>1077</v>
      </c>
      <c r="S47" t="s">
        <v>1078</v>
      </c>
      <c r="T47" t="s">
        <v>1079</v>
      </c>
      <c r="U47" t="s">
        <v>1080</v>
      </c>
      <c r="V47" t="s">
        <v>1081</v>
      </c>
      <c r="W47" t="s">
        <v>1082</v>
      </c>
      <c r="X47">
        <v>20240630</v>
      </c>
      <c r="Y47" t="s">
        <v>1083</v>
      </c>
      <c r="Z47" t="s">
        <v>1084</v>
      </c>
      <c r="AA47" s="11" t="str">
        <f t="shared" si="0"/>
        <v>EXEC [dbo].[BalanceGeneralInsertar] @Nivel ='Auxiliar',@Transaccional ='Sí',@CodigoCuentaContable ='11100501', @NombreCuentaContable ='Moneda nacional',@Identificacion ='900397663',@Sucursal ='',@NombreTercero ='BTL COLOMBIA SAS',@SaldoInicial = -1326160028,@MovimientoDebito = 0,@MovimientoCredito =0,@SaldoFinal = 0,@Fecha ='20240630',@IdentificacionCliente = '901434038';</v>
      </c>
      <c r="AB47" t="s">
        <v>1085</v>
      </c>
    </row>
    <row r="48" spans="1:28" x14ac:dyDescent="0.25">
      <c r="A48" s="2" t="s">
        <v>28</v>
      </c>
      <c r="B48" s="2" t="s">
        <v>29</v>
      </c>
      <c r="C48" s="2" t="s">
        <v>30</v>
      </c>
      <c r="D48" s="2" t="s">
        <v>27</v>
      </c>
      <c r="E48" s="2" t="s">
        <v>101</v>
      </c>
      <c r="F48" s="2"/>
      <c r="G48" s="2" t="s">
        <v>102</v>
      </c>
      <c r="H48" s="3">
        <v>-55359906</v>
      </c>
      <c r="I48" s="3">
        <v>0</v>
      </c>
      <c r="J48" s="3">
        <v>3162570</v>
      </c>
      <c r="K48" s="3">
        <v>-58522476</v>
      </c>
      <c r="L48" t="s">
        <v>1071</v>
      </c>
      <c r="M48" t="s">
        <v>1072</v>
      </c>
      <c r="N48" t="s">
        <v>1073</v>
      </c>
      <c r="O48" t="s">
        <v>1074</v>
      </c>
      <c r="P48" t="s">
        <v>1075</v>
      </c>
      <c r="Q48" t="s">
        <v>1076</v>
      </c>
      <c r="R48" t="s">
        <v>1077</v>
      </c>
      <c r="S48" t="s">
        <v>1078</v>
      </c>
      <c r="T48" t="s">
        <v>1079</v>
      </c>
      <c r="U48" t="s">
        <v>1080</v>
      </c>
      <c r="V48" t="s">
        <v>1081</v>
      </c>
      <c r="W48" t="s">
        <v>1082</v>
      </c>
      <c r="X48">
        <v>20240630</v>
      </c>
      <c r="Y48" t="s">
        <v>1083</v>
      </c>
      <c r="Z48" t="s">
        <v>1084</v>
      </c>
      <c r="AA48" s="11" t="str">
        <f t="shared" si="0"/>
        <v>EXEC [dbo].[BalanceGeneralInsertar] @Nivel ='Auxiliar',@Transaccional ='Sí',@CodigoCuentaContable ='11100501', @NombreCuentaContable ='Moneda nacional',@Identificacion ='31383821',@Sucursal ='',@NombreTercero ='PATRICIA LOPEZ',@SaldoInicial = -55359906,@MovimientoDebito = 0,@MovimientoCredito =3162570,@SaldoFinal = 3162570,@Fecha ='20240630',@IdentificacionCliente = '901434038';</v>
      </c>
      <c r="AB48" t="s">
        <v>1085</v>
      </c>
    </row>
    <row r="49" spans="1:28" x14ac:dyDescent="0.25">
      <c r="A49" s="2" t="s">
        <v>28</v>
      </c>
      <c r="B49" s="2" t="s">
        <v>29</v>
      </c>
      <c r="C49" s="2" t="s">
        <v>30</v>
      </c>
      <c r="D49" s="2" t="s">
        <v>27</v>
      </c>
      <c r="E49" s="2" t="s">
        <v>103</v>
      </c>
      <c r="F49" s="2"/>
      <c r="G49" s="2" t="s">
        <v>104</v>
      </c>
      <c r="H49" s="3" t="s">
        <v>702</v>
      </c>
      <c r="I49" s="3">
        <v>0</v>
      </c>
      <c r="J49" s="3">
        <v>0</v>
      </c>
      <c r="K49" s="3" t="s">
        <v>702</v>
      </c>
      <c r="L49" t="s">
        <v>1071</v>
      </c>
      <c r="M49" t="s">
        <v>1072</v>
      </c>
      <c r="N49" t="s">
        <v>1073</v>
      </c>
      <c r="O49" t="s">
        <v>1074</v>
      </c>
      <c r="P49" t="s">
        <v>1075</v>
      </c>
      <c r="Q49" t="s">
        <v>1076</v>
      </c>
      <c r="R49" t="s">
        <v>1077</v>
      </c>
      <c r="S49" t="s">
        <v>1078</v>
      </c>
      <c r="T49" t="s">
        <v>1079</v>
      </c>
      <c r="U49" t="s">
        <v>1080</v>
      </c>
      <c r="V49" t="s">
        <v>1081</v>
      </c>
      <c r="W49" t="s">
        <v>1082</v>
      </c>
      <c r="X49">
        <v>20240630</v>
      </c>
      <c r="Y49" t="s">
        <v>1083</v>
      </c>
      <c r="Z49" t="s">
        <v>1084</v>
      </c>
      <c r="AA49" s="11" t="str">
        <f t="shared" si="0"/>
        <v>EXEC [dbo].[BalanceGeneralInsertar] @Nivel ='Auxiliar',@Transaccional ='Sí',@CodigoCuentaContable ='11100501', @NombreCuentaContable ='Moneda nacional',@Identificacion ='900297847',@Sucursal ='',@NombreTercero ='CENTRO CONTRA EFECTOS DE LA EDAD S.A.S',@SaldoInicial = 47117877.7,@MovimientoDebito = 0,@MovimientoCredito =0,@SaldoFinal = 0,@Fecha ='20240630',@IdentificacionCliente = '901434038';</v>
      </c>
      <c r="AB49" t="s">
        <v>1085</v>
      </c>
    </row>
    <row r="50" spans="1:28" x14ac:dyDescent="0.25">
      <c r="A50" s="2" t="s">
        <v>28</v>
      </c>
      <c r="B50" s="2" t="s">
        <v>29</v>
      </c>
      <c r="C50" s="2" t="s">
        <v>30</v>
      </c>
      <c r="D50" s="2" t="s">
        <v>27</v>
      </c>
      <c r="E50" s="2" t="s">
        <v>105</v>
      </c>
      <c r="F50" s="2"/>
      <c r="G50" s="2" t="s">
        <v>106</v>
      </c>
      <c r="H50" s="3" t="s">
        <v>703</v>
      </c>
      <c r="I50" s="3">
        <v>3760400</v>
      </c>
      <c r="J50" s="3">
        <v>0</v>
      </c>
      <c r="K50" s="3" t="s">
        <v>704</v>
      </c>
      <c r="L50" t="s">
        <v>1071</v>
      </c>
      <c r="M50" t="s">
        <v>1072</v>
      </c>
      <c r="N50" t="s">
        <v>1073</v>
      </c>
      <c r="O50" t="s">
        <v>1074</v>
      </c>
      <c r="P50" t="s">
        <v>1075</v>
      </c>
      <c r="Q50" t="s">
        <v>1076</v>
      </c>
      <c r="R50" t="s">
        <v>1077</v>
      </c>
      <c r="S50" t="s">
        <v>1078</v>
      </c>
      <c r="T50" t="s">
        <v>1079</v>
      </c>
      <c r="U50" t="s">
        <v>1080</v>
      </c>
      <c r="V50" t="s">
        <v>1081</v>
      </c>
      <c r="W50" t="s">
        <v>1082</v>
      </c>
      <c r="X50">
        <v>20240630</v>
      </c>
      <c r="Y50" t="s">
        <v>1083</v>
      </c>
      <c r="Z50" t="s">
        <v>1084</v>
      </c>
      <c r="AA50" s="11" t="str">
        <f t="shared" si="0"/>
        <v>EXEC [dbo].[BalanceGeneralInsertar] @Nivel ='Auxiliar',@Transaccional ='Sí',@CodigoCuentaContable ='11100501', @NombreCuentaContable ='Moneda nacional',@Identificacion ='901000155',@Sucursal ='',@NombreTercero ='DELUXE BY CRISTINA JARAMILLO S.A.S',@SaldoInicial = 24861449.5,@MovimientoDebito = 3760400,@MovimientoCredito =0,@SaldoFinal = 0,@Fecha ='20240630',@IdentificacionCliente = '901434038';</v>
      </c>
      <c r="AB50" t="s">
        <v>1085</v>
      </c>
    </row>
    <row r="51" spans="1:28" x14ac:dyDescent="0.25">
      <c r="A51" s="2" t="s">
        <v>28</v>
      </c>
      <c r="B51" s="2" t="s">
        <v>29</v>
      </c>
      <c r="C51" s="2" t="s">
        <v>30</v>
      </c>
      <c r="D51" s="2" t="s">
        <v>27</v>
      </c>
      <c r="E51" s="2" t="s">
        <v>107</v>
      </c>
      <c r="F51" s="2"/>
      <c r="G51" s="2" t="s">
        <v>108</v>
      </c>
      <c r="H51" s="3">
        <v>-185000000</v>
      </c>
      <c r="I51" s="3">
        <v>0</v>
      </c>
      <c r="J51" s="3">
        <v>0</v>
      </c>
      <c r="K51" s="3">
        <v>-185000000</v>
      </c>
      <c r="L51" t="s">
        <v>1071</v>
      </c>
      <c r="M51" t="s">
        <v>1072</v>
      </c>
      <c r="N51" t="s">
        <v>1073</v>
      </c>
      <c r="O51" t="s">
        <v>1074</v>
      </c>
      <c r="P51" t="s">
        <v>1075</v>
      </c>
      <c r="Q51" t="s">
        <v>1076</v>
      </c>
      <c r="R51" t="s">
        <v>1077</v>
      </c>
      <c r="S51" t="s">
        <v>1078</v>
      </c>
      <c r="T51" t="s">
        <v>1079</v>
      </c>
      <c r="U51" t="s">
        <v>1080</v>
      </c>
      <c r="V51" t="s">
        <v>1081</v>
      </c>
      <c r="W51" t="s">
        <v>1082</v>
      </c>
      <c r="X51">
        <v>20240630</v>
      </c>
      <c r="Y51" t="s">
        <v>1083</v>
      </c>
      <c r="Z51" t="s">
        <v>1084</v>
      </c>
      <c r="AA51" s="11" t="str">
        <f t="shared" si="0"/>
        <v>EXEC [dbo].[BalanceGeneralInsertar] @Nivel ='Auxiliar',@Transaccional ='Sí',@CodigoCuentaContable ='11100501', @NombreCuentaContable ='Moneda nacional',@Identificacion ='860531315',@Sucursal ='',@NombreTercero ='ALIANZA FIDUCIARIA S.A.',@SaldoInicial = -185000000,@MovimientoDebito = 0,@MovimientoCredito =0,@SaldoFinal = 0,@Fecha ='20240630',@IdentificacionCliente = '901434038';</v>
      </c>
      <c r="AB51" t="s">
        <v>1085</v>
      </c>
    </row>
    <row r="52" spans="1:28" x14ac:dyDescent="0.25">
      <c r="A52" s="2" t="s">
        <v>28</v>
      </c>
      <c r="B52" s="2" t="s">
        <v>29</v>
      </c>
      <c r="C52" s="2" t="s">
        <v>30</v>
      </c>
      <c r="D52" s="2" t="s">
        <v>27</v>
      </c>
      <c r="E52" s="2" t="s">
        <v>109</v>
      </c>
      <c r="F52" s="2"/>
      <c r="G52" s="2" t="s">
        <v>110</v>
      </c>
      <c r="H52" s="3">
        <v>114240</v>
      </c>
      <c r="I52" s="3">
        <v>0</v>
      </c>
      <c r="J52" s="3">
        <v>0</v>
      </c>
      <c r="K52" s="3">
        <v>114240</v>
      </c>
      <c r="L52" t="s">
        <v>1071</v>
      </c>
      <c r="M52" t="s">
        <v>1072</v>
      </c>
      <c r="N52" t="s">
        <v>1073</v>
      </c>
      <c r="O52" t="s">
        <v>1074</v>
      </c>
      <c r="P52" t="s">
        <v>1075</v>
      </c>
      <c r="Q52" t="s">
        <v>1076</v>
      </c>
      <c r="R52" t="s">
        <v>1077</v>
      </c>
      <c r="S52" t="s">
        <v>1078</v>
      </c>
      <c r="T52" t="s">
        <v>1079</v>
      </c>
      <c r="U52" t="s">
        <v>1080</v>
      </c>
      <c r="V52" t="s">
        <v>1081</v>
      </c>
      <c r="W52" t="s">
        <v>1082</v>
      </c>
      <c r="X52">
        <v>20240630</v>
      </c>
      <c r="Y52" t="s">
        <v>1083</v>
      </c>
      <c r="Z52" t="s">
        <v>1084</v>
      </c>
      <c r="AA52" s="11" t="str">
        <f t="shared" si="0"/>
        <v>EXEC [dbo].[BalanceGeneralInsertar] @Nivel ='Auxiliar',@Transaccional ='Sí',@CodigoCuentaContable ='11100501', @NombreCuentaContable ='Moneda nacional',@Identificacion ='53120695',@Sucursal ='',@NombreTercero ='ADRIANA MARCELA WALTEROS RINCON',@SaldoInicial = 114240,@MovimientoDebito = 0,@MovimientoCredito =0,@SaldoFinal = 0,@Fecha ='20240630',@IdentificacionCliente = '901434038';</v>
      </c>
      <c r="AB52" t="s">
        <v>1085</v>
      </c>
    </row>
    <row r="53" spans="1:28" x14ac:dyDescent="0.25">
      <c r="A53" s="2" t="s">
        <v>28</v>
      </c>
      <c r="B53" s="2" t="s">
        <v>29</v>
      </c>
      <c r="C53" s="2" t="s">
        <v>30</v>
      </c>
      <c r="D53" s="2" t="s">
        <v>27</v>
      </c>
      <c r="E53" s="2" t="s">
        <v>111</v>
      </c>
      <c r="F53" s="2"/>
      <c r="G53" s="2" t="s">
        <v>112</v>
      </c>
      <c r="H53" s="3">
        <v>-17931041</v>
      </c>
      <c r="I53" s="3">
        <v>0</v>
      </c>
      <c r="J53" s="3">
        <v>0</v>
      </c>
      <c r="K53" s="3">
        <v>-17931041</v>
      </c>
      <c r="L53" t="s">
        <v>1071</v>
      </c>
      <c r="M53" t="s">
        <v>1072</v>
      </c>
      <c r="N53" t="s">
        <v>1073</v>
      </c>
      <c r="O53" t="s">
        <v>1074</v>
      </c>
      <c r="P53" t="s">
        <v>1075</v>
      </c>
      <c r="Q53" t="s">
        <v>1076</v>
      </c>
      <c r="R53" t="s">
        <v>1077</v>
      </c>
      <c r="S53" t="s">
        <v>1078</v>
      </c>
      <c r="T53" t="s">
        <v>1079</v>
      </c>
      <c r="U53" t="s">
        <v>1080</v>
      </c>
      <c r="V53" t="s">
        <v>1081</v>
      </c>
      <c r="W53" t="s">
        <v>1082</v>
      </c>
      <c r="X53">
        <v>20240630</v>
      </c>
      <c r="Y53" t="s">
        <v>1083</v>
      </c>
      <c r="Z53" t="s">
        <v>1084</v>
      </c>
      <c r="AA53" s="11" t="str">
        <f t="shared" si="0"/>
        <v>EXEC [dbo].[BalanceGeneralInsertar] @Nivel ='Auxiliar',@Transaccional ='Sí',@CodigoCuentaContable ='11100501', @NombreCuentaContable ='Moneda nacional',@Identificacion ='860066942',@Sucursal ='',@NombreTercero ='Compensar',@SaldoInicial = -17931041,@MovimientoDebito = 0,@MovimientoCredito =0,@SaldoFinal = 0,@Fecha ='20240630',@IdentificacionCliente = '901434038';</v>
      </c>
      <c r="AB53" t="s">
        <v>1085</v>
      </c>
    </row>
    <row r="54" spans="1:28" x14ac:dyDescent="0.25">
      <c r="A54" s="2" t="s">
        <v>28</v>
      </c>
      <c r="B54" s="2" t="s">
        <v>29</v>
      </c>
      <c r="C54" s="2" t="s">
        <v>30</v>
      </c>
      <c r="D54" s="2" t="s">
        <v>27</v>
      </c>
      <c r="E54" s="2" t="s">
        <v>113</v>
      </c>
      <c r="F54" s="2"/>
      <c r="G54" s="2" t="s">
        <v>114</v>
      </c>
      <c r="H54" s="3">
        <v>-35276871</v>
      </c>
      <c r="I54" s="3">
        <v>0</v>
      </c>
      <c r="J54" s="3">
        <v>0</v>
      </c>
      <c r="K54" s="3">
        <v>-35276871</v>
      </c>
      <c r="L54" t="s">
        <v>1071</v>
      </c>
      <c r="M54" t="s">
        <v>1072</v>
      </c>
      <c r="N54" t="s">
        <v>1073</v>
      </c>
      <c r="O54" t="s">
        <v>1074</v>
      </c>
      <c r="P54" t="s">
        <v>1075</v>
      </c>
      <c r="Q54" t="s">
        <v>1076</v>
      </c>
      <c r="R54" t="s">
        <v>1077</v>
      </c>
      <c r="S54" t="s">
        <v>1078</v>
      </c>
      <c r="T54" t="s">
        <v>1079</v>
      </c>
      <c r="U54" t="s">
        <v>1080</v>
      </c>
      <c r="V54" t="s">
        <v>1081</v>
      </c>
      <c r="W54" t="s">
        <v>1082</v>
      </c>
      <c r="X54">
        <v>20240630</v>
      </c>
      <c r="Y54" t="s">
        <v>1083</v>
      </c>
      <c r="Z54" t="s">
        <v>1084</v>
      </c>
      <c r="AA54" s="11" t="str">
        <f t="shared" si="0"/>
        <v>EXEC [dbo].[BalanceGeneralInsertar] @Nivel ='Auxiliar',@Transaccional ='Sí',@CodigoCuentaContable ='11100501', @NombreCuentaContable ='Moneda nacional',@Identificacion ='901398776',@Sucursal ='',@NombreTercero ='SERVICIOS FINANCIEROS OPERATIVOS FINANCIEROS SAS',@SaldoInicial = -35276871,@MovimientoDebito = 0,@MovimientoCredito =0,@SaldoFinal = 0,@Fecha ='20240630',@IdentificacionCliente = '901434038';</v>
      </c>
      <c r="AB54" t="s">
        <v>1085</v>
      </c>
    </row>
    <row r="55" spans="1:28" x14ac:dyDescent="0.25">
      <c r="A55" s="2" t="s">
        <v>28</v>
      </c>
      <c r="B55" s="2" t="s">
        <v>29</v>
      </c>
      <c r="C55" s="2" t="s">
        <v>30</v>
      </c>
      <c r="D55" s="2" t="s">
        <v>27</v>
      </c>
      <c r="E55" s="2" t="s">
        <v>115</v>
      </c>
      <c r="F55" s="2"/>
      <c r="G55" s="2" t="s">
        <v>116</v>
      </c>
      <c r="H55" s="3" t="s">
        <v>705</v>
      </c>
      <c r="I55" s="3">
        <v>0</v>
      </c>
      <c r="J55" s="3">
        <v>0</v>
      </c>
      <c r="K55" s="3" t="s">
        <v>705</v>
      </c>
      <c r="L55" t="s">
        <v>1071</v>
      </c>
      <c r="M55" t="s">
        <v>1072</v>
      </c>
      <c r="N55" t="s">
        <v>1073</v>
      </c>
      <c r="O55" t="s">
        <v>1074</v>
      </c>
      <c r="P55" t="s">
        <v>1075</v>
      </c>
      <c r="Q55" t="s">
        <v>1076</v>
      </c>
      <c r="R55" t="s">
        <v>1077</v>
      </c>
      <c r="S55" t="s">
        <v>1078</v>
      </c>
      <c r="T55" t="s">
        <v>1079</v>
      </c>
      <c r="U55" t="s">
        <v>1080</v>
      </c>
      <c r="V55" t="s">
        <v>1081</v>
      </c>
      <c r="W55" t="s">
        <v>1082</v>
      </c>
      <c r="X55">
        <v>20240630</v>
      </c>
      <c r="Y55" t="s">
        <v>1083</v>
      </c>
      <c r="Z55" t="s">
        <v>1084</v>
      </c>
      <c r="AA55" s="11" t="str">
        <f t="shared" si="0"/>
        <v>EXEC [dbo].[BalanceGeneralInsertar] @Nivel ='Auxiliar',@Transaccional ='Sí',@CodigoCuentaContable ='11100501', @NombreCuentaContable ='Moneda nacional',@Identificacion ='901093584',@Sucursal ='',@NombreTercero ='VITTI S A S',@SaldoInicial = 124681529.47,@MovimientoDebito = 0,@MovimientoCredito =0,@SaldoFinal = 0,@Fecha ='20240630',@IdentificacionCliente = '901434038';</v>
      </c>
      <c r="AB55" t="s">
        <v>1085</v>
      </c>
    </row>
    <row r="56" spans="1:28" x14ac:dyDescent="0.25">
      <c r="A56" s="2" t="s">
        <v>28</v>
      </c>
      <c r="B56" s="2" t="s">
        <v>29</v>
      </c>
      <c r="C56" s="2" t="s">
        <v>30</v>
      </c>
      <c r="D56" s="2" t="s">
        <v>27</v>
      </c>
      <c r="E56" s="2" t="s">
        <v>117</v>
      </c>
      <c r="F56" s="2"/>
      <c r="G56" s="2" t="s">
        <v>118</v>
      </c>
      <c r="H56" s="3">
        <v>-626795</v>
      </c>
      <c r="I56" s="3">
        <v>0</v>
      </c>
      <c r="J56" s="3">
        <v>0</v>
      </c>
      <c r="K56" s="3">
        <v>-626795</v>
      </c>
      <c r="L56" t="s">
        <v>1071</v>
      </c>
      <c r="M56" t="s">
        <v>1072</v>
      </c>
      <c r="N56" t="s">
        <v>1073</v>
      </c>
      <c r="O56" t="s">
        <v>1074</v>
      </c>
      <c r="P56" t="s">
        <v>1075</v>
      </c>
      <c r="Q56" t="s">
        <v>1076</v>
      </c>
      <c r="R56" t="s">
        <v>1077</v>
      </c>
      <c r="S56" t="s">
        <v>1078</v>
      </c>
      <c r="T56" t="s">
        <v>1079</v>
      </c>
      <c r="U56" t="s">
        <v>1080</v>
      </c>
      <c r="V56" t="s">
        <v>1081</v>
      </c>
      <c r="W56" t="s">
        <v>1082</v>
      </c>
      <c r="X56">
        <v>20240630</v>
      </c>
      <c r="Y56" t="s">
        <v>1083</v>
      </c>
      <c r="Z56" t="s">
        <v>1084</v>
      </c>
      <c r="AA56" s="11" t="str">
        <f t="shared" si="0"/>
        <v>EXEC [dbo].[BalanceGeneralInsertar] @Nivel ='Auxiliar',@Transaccional ='Sí',@CodigoCuentaContable ='11100501', @NombreCuentaContable ='Moneda nacional',@Identificacion ='830048145',@Sucursal ='',@NombreTercero ='SIIGO S.A.S',@SaldoInicial = -626795,@MovimientoDebito = 0,@MovimientoCredito =0,@SaldoFinal = 0,@Fecha ='20240630',@IdentificacionCliente = '901434038';</v>
      </c>
      <c r="AB56" t="s">
        <v>1085</v>
      </c>
    </row>
    <row r="57" spans="1:28" x14ac:dyDescent="0.25">
      <c r="A57" s="2" t="s">
        <v>28</v>
      </c>
      <c r="B57" s="2" t="s">
        <v>29</v>
      </c>
      <c r="C57" s="2" t="s">
        <v>30</v>
      </c>
      <c r="D57" s="2" t="s">
        <v>27</v>
      </c>
      <c r="E57" s="2" t="s">
        <v>119</v>
      </c>
      <c r="F57" s="2"/>
      <c r="G57" s="2" t="s">
        <v>120</v>
      </c>
      <c r="H57" s="3">
        <v>-433818469</v>
      </c>
      <c r="I57" s="3">
        <v>0</v>
      </c>
      <c r="J57" s="3">
        <v>3916333</v>
      </c>
      <c r="K57" s="3">
        <v>-437734802</v>
      </c>
      <c r="L57" t="s">
        <v>1071</v>
      </c>
      <c r="M57" t="s">
        <v>1072</v>
      </c>
      <c r="N57" t="s">
        <v>1073</v>
      </c>
      <c r="O57" t="s">
        <v>1074</v>
      </c>
      <c r="P57" t="s">
        <v>1075</v>
      </c>
      <c r="Q57" t="s">
        <v>1076</v>
      </c>
      <c r="R57" t="s">
        <v>1077</v>
      </c>
      <c r="S57" t="s">
        <v>1078</v>
      </c>
      <c r="T57" t="s">
        <v>1079</v>
      </c>
      <c r="U57" t="s">
        <v>1080</v>
      </c>
      <c r="V57" t="s">
        <v>1081</v>
      </c>
      <c r="W57" t="s">
        <v>1082</v>
      </c>
      <c r="X57">
        <v>20240630</v>
      </c>
      <c r="Y57" t="s">
        <v>1083</v>
      </c>
      <c r="Z57" t="s">
        <v>1084</v>
      </c>
      <c r="AA57" s="11" t="str">
        <f t="shared" si="0"/>
        <v>EXEC [dbo].[BalanceGeneralInsertar] @Nivel ='Auxiliar',@Transaccional ='Sí',@CodigoCuentaContable ='11100501', @NombreCuentaContable ='Moneda nacional',@Identificacion ='80196373',@Sucursal ='',@NombreTercero ='JUAN FERNANDO DURAN LOPEZ',@SaldoInicial = -433818469,@MovimientoDebito = 0,@MovimientoCredito =3916333,@SaldoFinal = 3916333,@Fecha ='20240630',@IdentificacionCliente = '901434038';</v>
      </c>
      <c r="AB57" t="s">
        <v>1085</v>
      </c>
    </row>
    <row r="58" spans="1:28" x14ac:dyDescent="0.25">
      <c r="A58" s="2" t="s">
        <v>28</v>
      </c>
      <c r="B58" s="2" t="s">
        <v>29</v>
      </c>
      <c r="C58" s="2" t="s">
        <v>30</v>
      </c>
      <c r="D58" s="2" t="s">
        <v>27</v>
      </c>
      <c r="E58" s="2" t="s">
        <v>121</v>
      </c>
      <c r="F58" s="2"/>
      <c r="G58" s="2" t="s">
        <v>122</v>
      </c>
      <c r="H58" s="3">
        <v>-88626700</v>
      </c>
      <c r="I58" s="3">
        <v>0</v>
      </c>
      <c r="J58" s="3">
        <v>0</v>
      </c>
      <c r="K58" s="3">
        <v>-88626700</v>
      </c>
      <c r="L58" t="s">
        <v>1071</v>
      </c>
      <c r="M58" t="s">
        <v>1072</v>
      </c>
      <c r="N58" t="s">
        <v>1073</v>
      </c>
      <c r="O58" t="s">
        <v>1074</v>
      </c>
      <c r="P58" t="s">
        <v>1075</v>
      </c>
      <c r="Q58" t="s">
        <v>1076</v>
      </c>
      <c r="R58" t="s">
        <v>1077</v>
      </c>
      <c r="S58" t="s">
        <v>1078</v>
      </c>
      <c r="T58" t="s">
        <v>1079</v>
      </c>
      <c r="U58" t="s">
        <v>1080</v>
      </c>
      <c r="V58" t="s">
        <v>1081</v>
      </c>
      <c r="W58" t="s">
        <v>1082</v>
      </c>
      <c r="X58">
        <v>20240630</v>
      </c>
      <c r="Y58" t="s">
        <v>1083</v>
      </c>
      <c r="Z58" t="s">
        <v>1084</v>
      </c>
      <c r="AA58" s="11" t="str">
        <f t="shared" si="0"/>
        <v>EXEC [dbo].[BalanceGeneralInsertar] @Nivel ='Auxiliar',@Transaccional ='Sí',@CodigoCuentaContable ='11100501', @NombreCuentaContable ='Moneda nacional',@Identificacion ='92555120',@Sucursal ='',@NombreTercero ='JOSE OMAR VELILLA',@SaldoInicial = -88626700,@MovimientoDebito = 0,@MovimientoCredito =0,@SaldoFinal = 0,@Fecha ='20240630',@IdentificacionCliente = '901434038';</v>
      </c>
      <c r="AB58" t="s">
        <v>1085</v>
      </c>
    </row>
    <row r="59" spans="1:28" x14ac:dyDescent="0.25">
      <c r="A59" s="2" t="s">
        <v>28</v>
      </c>
      <c r="B59" s="2" t="s">
        <v>29</v>
      </c>
      <c r="C59" s="2" t="s">
        <v>123</v>
      </c>
      <c r="D59" s="2" t="s">
        <v>124</v>
      </c>
      <c r="E59" s="2" t="s">
        <v>35</v>
      </c>
      <c r="F59" s="2"/>
      <c r="G59" s="2" t="s">
        <v>36</v>
      </c>
      <c r="H59" s="3" t="s">
        <v>706</v>
      </c>
      <c r="I59" s="3">
        <v>0</v>
      </c>
      <c r="J59" s="3">
        <v>0</v>
      </c>
      <c r="K59" s="3" t="s">
        <v>706</v>
      </c>
      <c r="L59" t="s">
        <v>1071</v>
      </c>
      <c r="M59" t="s">
        <v>1072</v>
      </c>
      <c r="N59" t="s">
        <v>1073</v>
      </c>
      <c r="O59" t="s">
        <v>1074</v>
      </c>
      <c r="P59" t="s">
        <v>1075</v>
      </c>
      <c r="Q59" t="s">
        <v>1076</v>
      </c>
      <c r="R59" t="s">
        <v>1077</v>
      </c>
      <c r="S59" t="s">
        <v>1078</v>
      </c>
      <c r="T59" t="s">
        <v>1079</v>
      </c>
      <c r="U59" t="s">
        <v>1080</v>
      </c>
      <c r="V59" t="s">
        <v>1081</v>
      </c>
      <c r="W59" t="s">
        <v>1082</v>
      </c>
      <c r="X59">
        <v>20240630</v>
      </c>
      <c r="Y59" t="s">
        <v>1083</v>
      </c>
      <c r="Z59" t="s">
        <v>1084</v>
      </c>
      <c r="AA59" s="11" t="str">
        <f t="shared" si="0"/>
        <v>EXEC [dbo].[BalanceGeneralInsertar] @Nivel ='Auxiliar',@Transaccional ='Sí',@CodigoCuentaContable ='11100504', @NombreCuentaContable ='Banco BBVA 1438',@Identificacion ='890903938',@Sucursal ='',@NombreTercero ='Bancolombia',@SaldoInicial = 1305672.5,@MovimientoDebito = 0,@MovimientoCredito =0,@SaldoFinal = 0,@Fecha ='20240630',@IdentificacionCliente = '901434038';</v>
      </c>
      <c r="AB59" t="s">
        <v>1085</v>
      </c>
    </row>
    <row r="60" spans="1:28" x14ac:dyDescent="0.25">
      <c r="A60" s="2" t="s">
        <v>28</v>
      </c>
      <c r="B60" s="2" t="s">
        <v>29</v>
      </c>
      <c r="C60" s="2" t="s">
        <v>123</v>
      </c>
      <c r="D60" s="2" t="s">
        <v>124</v>
      </c>
      <c r="E60" s="2" t="s">
        <v>125</v>
      </c>
      <c r="F60" s="2"/>
      <c r="G60" s="2" t="s">
        <v>126</v>
      </c>
      <c r="H60" s="3" t="s">
        <v>707</v>
      </c>
      <c r="I60" s="3">
        <v>0</v>
      </c>
      <c r="J60" s="3">
        <v>0</v>
      </c>
      <c r="K60" s="3" t="s">
        <v>707</v>
      </c>
      <c r="L60" t="s">
        <v>1071</v>
      </c>
      <c r="M60" t="s">
        <v>1072</v>
      </c>
      <c r="N60" t="s">
        <v>1073</v>
      </c>
      <c r="O60" t="s">
        <v>1074</v>
      </c>
      <c r="P60" t="s">
        <v>1075</v>
      </c>
      <c r="Q60" t="s">
        <v>1076</v>
      </c>
      <c r="R60" t="s">
        <v>1077</v>
      </c>
      <c r="S60" t="s">
        <v>1078</v>
      </c>
      <c r="T60" t="s">
        <v>1079</v>
      </c>
      <c r="U60" t="s">
        <v>1080</v>
      </c>
      <c r="V60" t="s">
        <v>1081</v>
      </c>
      <c r="W60" t="s">
        <v>1082</v>
      </c>
      <c r="X60">
        <v>20240630</v>
      </c>
      <c r="Y60" t="s">
        <v>1083</v>
      </c>
      <c r="Z60" t="s">
        <v>1084</v>
      </c>
      <c r="AA60" s="11" t="str">
        <f t="shared" si="0"/>
        <v>EXEC [dbo].[BalanceGeneralInsertar] @Nivel ='Auxiliar',@Transaccional ='Sí',@CodigoCuentaContable ='11100504', @NombreCuentaContable ='Banco BBVA 1438',@Identificacion ='860003020',@Sucursal ='',@NombreTercero ='BBVA',@SaldoInicial = 122327.5,@MovimientoDebito = 0,@MovimientoCredito =0,@SaldoFinal = 0,@Fecha ='20240630',@IdentificacionCliente = '901434038';</v>
      </c>
      <c r="AB60" t="s">
        <v>1085</v>
      </c>
    </row>
    <row r="61" spans="1:28" x14ac:dyDescent="0.25">
      <c r="A61" s="2" t="s">
        <v>28</v>
      </c>
      <c r="B61" s="2" t="s">
        <v>29</v>
      </c>
      <c r="C61" s="2" t="s">
        <v>123</v>
      </c>
      <c r="D61" s="2" t="s">
        <v>124</v>
      </c>
      <c r="E61" s="2" t="s">
        <v>113</v>
      </c>
      <c r="F61" s="2"/>
      <c r="G61" s="2" t="s">
        <v>114</v>
      </c>
      <c r="H61" s="3">
        <v>-1428000</v>
      </c>
      <c r="I61" s="3">
        <v>0</v>
      </c>
      <c r="J61" s="3">
        <v>0</v>
      </c>
      <c r="K61" s="3">
        <v>-1428000</v>
      </c>
      <c r="L61" t="s">
        <v>1071</v>
      </c>
      <c r="M61" t="s">
        <v>1072</v>
      </c>
      <c r="N61" t="s">
        <v>1073</v>
      </c>
      <c r="O61" t="s">
        <v>1074</v>
      </c>
      <c r="P61" t="s">
        <v>1075</v>
      </c>
      <c r="Q61" t="s">
        <v>1076</v>
      </c>
      <c r="R61" t="s">
        <v>1077</v>
      </c>
      <c r="S61" t="s">
        <v>1078</v>
      </c>
      <c r="T61" t="s">
        <v>1079</v>
      </c>
      <c r="U61" t="s">
        <v>1080</v>
      </c>
      <c r="V61" t="s">
        <v>1081</v>
      </c>
      <c r="W61" t="s">
        <v>1082</v>
      </c>
      <c r="X61">
        <v>20240630</v>
      </c>
      <c r="Y61" t="s">
        <v>1083</v>
      </c>
      <c r="Z61" t="s">
        <v>1084</v>
      </c>
      <c r="AA61" s="11" t="str">
        <f t="shared" si="0"/>
        <v>EXEC [dbo].[BalanceGeneralInsertar] @Nivel ='Auxiliar',@Transaccional ='Sí',@CodigoCuentaContable ='11100504', @NombreCuentaContable ='Banco BBVA 1438',@Identificacion ='901398776',@Sucursal ='',@NombreTercero ='SERVICIOS FINANCIEROS OPERATIVOS FINANCIEROS SAS',@SaldoInicial = -1428000,@MovimientoDebito = 0,@MovimientoCredito =0,@SaldoFinal = 0,@Fecha ='20240630',@IdentificacionCliente = '901434038';</v>
      </c>
      <c r="AB61" t="s">
        <v>1085</v>
      </c>
    </row>
    <row r="62" spans="1:28" x14ac:dyDescent="0.25">
      <c r="A62" s="2" t="s">
        <v>19</v>
      </c>
      <c r="B62" s="2" t="s">
        <v>16</v>
      </c>
      <c r="C62" s="2" t="s">
        <v>127</v>
      </c>
      <c r="D62" s="2" t="s">
        <v>128</v>
      </c>
      <c r="E62" s="2"/>
      <c r="F62" s="2"/>
      <c r="G62" s="2"/>
      <c r="H62" s="3" t="s">
        <v>708</v>
      </c>
      <c r="I62" s="3" t="s">
        <v>709</v>
      </c>
      <c r="J62" s="3">
        <v>43284689</v>
      </c>
      <c r="K62" s="3" t="s">
        <v>710</v>
      </c>
      <c r="L62" t="s">
        <v>1071</v>
      </c>
      <c r="M62" t="s">
        <v>1072</v>
      </c>
      <c r="N62" t="s">
        <v>1073</v>
      </c>
      <c r="O62" t="s">
        <v>1074</v>
      </c>
      <c r="P62" t="s">
        <v>1075</v>
      </c>
      <c r="Q62" t="s">
        <v>1076</v>
      </c>
      <c r="R62" t="s">
        <v>1077</v>
      </c>
      <c r="S62" t="s">
        <v>1078</v>
      </c>
      <c r="T62" t="s">
        <v>1079</v>
      </c>
      <c r="U62" t="s">
        <v>1080</v>
      </c>
      <c r="V62" t="s">
        <v>1081</v>
      </c>
      <c r="W62" t="s">
        <v>1082</v>
      </c>
      <c r="X62">
        <v>20240630</v>
      </c>
      <c r="Y62" t="s">
        <v>1083</v>
      </c>
      <c r="Z62" t="s">
        <v>1084</v>
      </c>
      <c r="AA62" s="11" t="str">
        <f t="shared" si="0"/>
        <v>EXEC [dbo].[BalanceGeneralInsertar] @Nivel ='Grupo',@Transaccional ='No',@CodigoCuentaContable ='12', @NombreCuentaContable ='Inversiones en asociadas',@Identificacion ='',@Sucursal ='',@NombreTercero ='',@SaldoInicial = 127196250.82,@MovimientoDebito = 52413772.25,@MovimientoCredito =43284689,@SaldoFinal = 43284689,@Fecha ='20240630',@IdentificacionCliente = '901434038';</v>
      </c>
      <c r="AB62" t="s">
        <v>1085</v>
      </c>
    </row>
    <row r="63" spans="1:28" x14ac:dyDescent="0.25">
      <c r="A63" s="2" t="s">
        <v>22</v>
      </c>
      <c r="B63" s="2" t="s">
        <v>16</v>
      </c>
      <c r="C63" s="2" t="s">
        <v>129</v>
      </c>
      <c r="D63" s="2" t="s">
        <v>130</v>
      </c>
      <c r="E63" s="2"/>
      <c r="F63" s="2"/>
      <c r="G63" s="2"/>
      <c r="H63" s="3" t="s">
        <v>708</v>
      </c>
      <c r="I63" s="3" t="s">
        <v>709</v>
      </c>
      <c r="J63" s="3">
        <v>43284689</v>
      </c>
      <c r="K63" s="3" t="s">
        <v>710</v>
      </c>
      <c r="L63" t="s">
        <v>1071</v>
      </c>
      <c r="M63" t="s">
        <v>1072</v>
      </c>
      <c r="N63" t="s">
        <v>1073</v>
      </c>
      <c r="O63" t="s">
        <v>1074</v>
      </c>
      <c r="P63" t="s">
        <v>1075</v>
      </c>
      <c r="Q63" t="s">
        <v>1076</v>
      </c>
      <c r="R63" t="s">
        <v>1077</v>
      </c>
      <c r="S63" t="s">
        <v>1078</v>
      </c>
      <c r="T63" t="s">
        <v>1079</v>
      </c>
      <c r="U63" t="s">
        <v>1080</v>
      </c>
      <c r="V63" t="s">
        <v>1081</v>
      </c>
      <c r="W63" t="s">
        <v>1082</v>
      </c>
      <c r="X63">
        <v>20240630</v>
      </c>
      <c r="Y63" t="s">
        <v>1083</v>
      </c>
      <c r="Z63" t="s">
        <v>1084</v>
      </c>
      <c r="AA63" s="11" t="str">
        <f t="shared" si="0"/>
        <v>EXEC [dbo].[BalanceGeneralInsertar] @Nivel ='Cuenta',@Transaccional ='No',@CodigoCuentaContable ='1245', @NombreCuentaContable ='Derechos Fiduciarios',@Identificacion ='',@Sucursal ='',@NombreTercero ='',@SaldoInicial = 127196250.82,@MovimientoDebito = 52413772.25,@MovimientoCredito =43284689,@SaldoFinal = 43284689,@Fecha ='20240630',@IdentificacionCliente = '901434038';</v>
      </c>
      <c r="AB63" t="s">
        <v>1085</v>
      </c>
    </row>
    <row r="64" spans="1:28" x14ac:dyDescent="0.25">
      <c r="A64" s="2" t="s">
        <v>25</v>
      </c>
      <c r="B64" s="2" t="s">
        <v>16</v>
      </c>
      <c r="C64" s="2" t="s">
        <v>131</v>
      </c>
      <c r="D64" s="2" t="s">
        <v>132</v>
      </c>
      <c r="E64" s="2"/>
      <c r="F64" s="2"/>
      <c r="G64" s="2"/>
      <c r="H64" s="3" t="s">
        <v>708</v>
      </c>
      <c r="I64" s="3" t="s">
        <v>709</v>
      </c>
      <c r="J64" s="3">
        <v>43284689</v>
      </c>
      <c r="K64" s="3" t="s">
        <v>710</v>
      </c>
      <c r="L64" t="s">
        <v>1071</v>
      </c>
      <c r="M64" t="s">
        <v>1072</v>
      </c>
      <c r="N64" t="s">
        <v>1073</v>
      </c>
      <c r="O64" t="s">
        <v>1074</v>
      </c>
      <c r="P64" t="s">
        <v>1075</v>
      </c>
      <c r="Q64" t="s">
        <v>1076</v>
      </c>
      <c r="R64" t="s">
        <v>1077</v>
      </c>
      <c r="S64" t="s">
        <v>1078</v>
      </c>
      <c r="T64" t="s">
        <v>1079</v>
      </c>
      <c r="U64" t="s">
        <v>1080</v>
      </c>
      <c r="V64" t="s">
        <v>1081</v>
      </c>
      <c r="W64" t="s">
        <v>1082</v>
      </c>
      <c r="X64">
        <v>20240630</v>
      </c>
      <c r="Y64" t="s">
        <v>1083</v>
      </c>
      <c r="Z64" t="s">
        <v>1084</v>
      </c>
      <c r="AA64" s="11" t="str">
        <f t="shared" si="0"/>
        <v>EXEC [dbo].[BalanceGeneralInsertar] @Nivel ='Subcuenta',@Transaccional ='No',@CodigoCuentaContable ='124505', @NombreCuentaContable ='Fideicomisos de inversión Moneda Nacional',@Identificacion ='',@Sucursal ='',@NombreTercero ='',@SaldoInicial = 127196250.82,@MovimientoDebito = 52413772.25,@MovimientoCredito =43284689,@SaldoFinal = 43284689,@Fecha ='20240630',@IdentificacionCliente = '901434038';</v>
      </c>
      <c r="AB64" t="s">
        <v>1085</v>
      </c>
    </row>
    <row r="65" spans="1:28" x14ac:dyDescent="0.25">
      <c r="A65" s="2" t="s">
        <v>28</v>
      </c>
      <c r="B65" s="2" t="s">
        <v>29</v>
      </c>
      <c r="C65" s="2" t="s">
        <v>133</v>
      </c>
      <c r="D65" s="2" t="s">
        <v>134</v>
      </c>
      <c r="E65" s="2" t="s">
        <v>35</v>
      </c>
      <c r="F65" s="2"/>
      <c r="G65" s="2" t="s">
        <v>36</v>
      </c>
      <c r="H65" s="3">
        <v>20000000</v>
      </c>
      <c r="I65" s="3">
        <v>0</v>
      </c>
      <c r="J65" s="3">
        <v>0</v>
      </c>
      <c r="K65" s="3">
        <v>20000000</v>
      </c>
      <c r="L65" t="s">
        <v>1071</v>
      </c>
      <c r="M65" t="s">
        <v>1072</v>
      </c>
      <c r="N65" t="s">
        <v>1073</v>
      </c>
      <c r="O65" t="s">
        <v>1074</v>
      </c>
      <c r="P65" t="s">
        <v>1075</v>
      </c>
      <c r="Q65" t="s">
        <v>1076</v>
      </c>
      <c r="R65" t="s">
        <v>1077</v>
      </c>
      <c r="S65" t="s">
        <v>1078</v>
      </c>
      <c r="T65" t="s">
        <v>1079</v>
      </c>
      <c r="U65" t="s">
        <v>1080</v>
      </c>
      <c r="V65" t="s">
        <v>1081</v>
      </c>
      <c r="W65" t="s">
        <v>1082</v>
      </c>
      <c r="X65">
        <v>20240630</v>
      </c>
      <c r="Y65" t="s">
        <v>1083</v>
      </c>
      <c r="Z65" t="s">
        <v>1084</v>
      </c>
      <c r="AA65" s="11" t="str">
        <f t="shared" si="0"/>
        <v>EXEC [dbo].[BalanceGeneralInsertar] @Nivel ='Auxiliar',@Transaccional ='Sí',@CodigoCuentaContable ='12450501', @NombreCuentaContable ='Fideicomisos de inversión Alianza fiduciaria 80030015702',@Identificacion ='890903938',@Sucursal ='',@NombreTercero ='Bancolombia',@SaldoInicial = 20000000,@MovimientoDebito = 0,@MovimientoCredito =0,@SaldoFinal = 0,@Fecha ='20240630',@IdentificacionCliente = '901434038';</v>
      </c>
      <c r="AB65" t="s">
        <v>1085</v>
      </c>
    </row>
    <row r="66" spans="1:28" x14ac:dyDescent="0.25">
      <c r="A66" s="2" t="s">
        <v>28</v>
      </c>
      <c r="B66" s="2" t="s">
        <v>29</v>
      </c>
      <c r="C66" s="2" t="s">
        <v>133</v>
      </c>
      <c r="D66" s="2" t="s">
        <v>134</v>
      </c>
      <c r="E66" s="2" t="s">
        <v>99</v>
      </c>
      <c r="F66" s="2"/>
      <c r="G66" s="2" t="s">
        <v>100</v>
      </c>
      <c r="H66" s="3">
        <v>-35912605</v>
      </c>
      <c r="I66" s="3">
        <v>0</v>
      </c>
      <c r="J66" s="3">
        <v>0</v>
      </c>
      <c r="K66" s="3">
        <v>-35912605</v>
      </c>
      <c r="L66" t="s">
        <v>1071</v>
      </c>
      <c r="M66" t="s">
        <v>1072</v>
      </c>
      <c r="N66" t="s">
        <v>1073</v>
      </c>
      <c r="O66" t="s">
        <v>1074</v>
      </c>
      <c r="P66" t="s">
        <v>1075</v>
      </c>
      <c r="Q66" t="s">
        <v>1076</v>
      </c>
      <c r="R66" t="s">
        <v>1077</v>
      </c>
      <c r="S66" t="s">
        <v>1078</v>
      </c>
      <c r="T66" t="s">
        <v>1079</v>
      </c>
      <c r="U66" t="s">
        <v>1080</v>
      </c>
      <c r="V66" t="s">
        <v>1081</v>
      </c>
      <c r="W66" t="s">
        <v>1082</v>
      </c>
      <c r="X66">
        <v>20240630</v>
      </c>
      <c r="Y66" t="s">
        <v>1083</v>
      </c>
      <c r="Z66" t="s">
        <v>1084</v>
      </c>
      <c r="AA66" s="11" t="str">
        <f t="shared" si="0"/>
        <v>EXEC [dbo].[BalanceGeneralInsertar] @Nivel ='Auxiliar',@Transaccional ='Sí',@CodigoCuentaContable ='12450501', @NombreCuentaContable ='Fideicomisos de inversión Alianza fiduciaria 80030015702',@Identificacion ='900397663',@Sucursal ='',@NombreTercero ='BTL COLOMBIA SAS',@SaldoInicial = -35912605,@MovimientoDebito = 0,@MovimientoCredito =0,@SaldoFinal = 0,@Fecha ='20240630',@IdentificacionCliente = '901434038';</v>
      </c>
      <c r="AB66" t="s">
        <v>1085</v>
      </c>
    </row>
    <row r="67" spans="1:28" x14ac:dyDescent="0.25">
      <c r="A67" s="2" t="s">
        <v>28</v>
      </c>
      <c r="B67" s="2" t="s">
        <v>29</v>
      </c>
      <c r="C67" s="2" t="s">
        <v>133</v>
      </c>
      <c r="D67" s="2" t="s">
        <v>134</v>
      </c>
      <c r="E67" s="2" t="s">
        <v>107</v>
      </c>
      <c r="F67" s="2"/>
      <c r="G67" s="2" t="s">
        <v>108</v>
      </c>
      <c r="H67" s="3" t="s">
        <v>711</v>
      </c>
      <c r="I67" s="3" t="s">
        <v>712</v>
      </c>
      <c r="J67" s="3">
        <v>0</v>
      </c>
      <c r="K67" s="3" t="s">
        <v>713</v>
      </c>
      <c r="L67" t="s">
        <v>1071</v>
      </c>
      <c r="M67" t="s">
        <v>1072</v>
      </c>
      <c r="N67" t="s">
        <v>1073</v>
      </c>
      <c r="O67" t="s">
        <v>1074</v>
      </c>
      <c r="P67" t="s">
        <v>1075</v>
      </c>
      <c r="Q67" t="s">
        <v>1076</v>
      </c>
      <c r="R67" t="s">
        <v>1077</v>
      </c>
      <c r="S67" t="s">
        <v>1078</v>
      </c>
      <c r="T67" t="s">
        <v>1079</v>
      </c>
      <c r="U67" t="s">
        <v>1080</v>
      </c>
      <c r="V67" t="s">
        <v>1081</v>
      </c>
      <c r="W67" t="s">
        <v>1082</v>
      </c>
      <c r="X67">
        <v>20240630</v>
      </c>
      <c r="Y67" t="s">
        <v>1083</v>
      </c>
      <c r="Z67" t="s">
        <v>1084</v>
      </c>
      <c r="AA67" s="11" t="str">
        <f t="shared" si="0"/>
        <v>EXEC [dbo].[BalanceGeneralInsertar] @Nivel ='Auxiliar',@Transaccional ='Sí',@CodigoCuentaContable ='12450501', @NombreCuentaContable ='Fideicomisos de inversión Alianza fiduciaria 80030015702',@Identificacion ='860531315',@Sucursal ='',@NombreTercero ='ALIANZA FIDUCIARIA S.A.',@SaldoInicial = 102820425.54,@MovimientoDebito = 299219.93,@MovimientoCredito =0,@SaldoFinal = 0,@Fecha ='20240630',@IdentificacionCliente = '901434038';</v>
      </c>
      <c r="AB67" t="s">
        <v>1085</v>
      </c>
    </row>
    <row r="68" spans="1:28" x14ac:dyDescent="0.25">
      <c r="A68" s="2" t="s">
        <v>28</v>
      </c>
      <c r="B68" s="2" t="s">
        <v>29</v>
      </c>
      <c r="C68" s="2" t="s">
        <v>133</v>
      </c>
      <c r="D68" s="2" t="s">
        <v>134</v>
      </c>
      <c r="E68" s="2" t="s">
        <v>135</v>
      </c>
      <c r="F68" s="2"/>
      <c r="G68" s="2" t="s">
        <v>136</v>
      </c>
      <c r="H68" s="3" t="s">
        <v>714</v>
      </c>
      <c r="I68" s="3">
        <v>0</v>
      </c>
      <c r="J68" s="3">
        <v>0</v>
      </c>
      <c r="K68" s="3" t="s">
        <v>714</v>
      </c>
      <c r="L68" t="s">
        <v>1071</v>
      </c>
      <c r="M68" t="s">
        <v>1072</v>
      </c>
      <c r="N68" t="s">
        <v>1073</v>
      </c>
      <c r="O68" t="s">
        <v>1074</v>
      </c>
      <c r="P68" t="s">
        <v>1075</v>
      </c>
      <c r="Q68" t="s">
        <v>1076</v>
      </c>
      <c r="R68" t="s">
        <v>1077</v>
      </c>
      <c r="S68" t="s">
        <v>1078</v>
      </c>
      <c r="T68" t="s">
        <v>1079</v>
      </c>
      <c r="U68" t="s">
        <v>1080</v>
      </c>
      <c r="V68" t="s">
        <v>1081</v>
      </c>
      <c r="W68" t="s">
        <v>1082</v>
      </c>
      <c r="X68">
        <v>20240630</v>
      </c>
      <c r="Y68" t="s">
        <v>1083</v>
      </c>
      <c r="Z68" t="s">
        <v>1084</v>
      </c>
      <c r="AA68" s="11" t="str">
        <f t="shared" si="0"/>
        <v>EXEC [dbo].[BalanceGeneralInsertar] @Nivel ='Auxiliar',@Transaccional ='Sí',@CodigoCuentaContable ='12450501', @NombreCuentaContable ='Fideicomisos de inversión Alianza fiduciaria 80030015702',@Identificacion ='900222911',@Sucursal ='',@NombreTercero ='INSTRUMENTOS MÉDICOS DE COLOMBIA S.A.S',@SaldoInicial = -43945999.85,@MovimientoDebito = 0,@MovimientoCredito =0,@SaldoFinal = 0,@Fecha ='20240630',@IdentificacionCliente = '901434038';</v>
      </c>
      <c r="AB68" t="s">
        <v>1085</v>
      </c>
    </row>
    <row r="69" spans="1:28" x14ac:dyDescent="0.25">
      <c r="A69" s="2" t="s">
        <v>28</v>
      </c>
      <c r="B69" s="2" t="s">
        <v>29</v>
      </c>
      <c r="C69" s="2" t="s">
        <v>137</v>
      </c>
      <c r="D69" s="2" t="s">
        <v>138</v>
      </c>
      <c r="E69" s="2" t="s">
        <v>35</v>
      </c>
      <c r="F69" s="2"/>
      <c r="G69" s="2" t="s">
        <v>36</v>
      </c>
      <c r="H69" s="3" t="s">
        <v>715</v>
      </c>
      <c r="I69" s="3" t="s">
        <v>716</v>
      </c>
      <c r="J69" s="3">
        <v>40482340</v>
      </c>
      <c r="K69" s="3" t="s">
        <v>717</v>
      </c>
      <c r="L69" t="s">
        <v>1071</v>
      </c>
      <c r="M69" t="s">
        <v>1072</v>
      </c>
      <c r="N69" t="s">
        <v>1073</v>
      </c>
      <c r="O69" t="s">
        <v>1074</v>
      </c>
      <c r="P69" t="s">
        <v>1075</v>
      </c>
      <c r="Q69" t="s">
        <v>1076</v>
      </c>
      <c r="R69" t="s">
        <v>1077</v>
      </c>
      <c r="S69" t="s">
        <v>1078</v>
      </c>
      <c r="T69" t="s">
        <v>1079</v>
      </c>
      <c r="U69" t="s">
        <v>1080</v>
      </c>
      <c r="V69" t="s">
        <v>1081</v>
      </c>
      <c r="W69" t="s">
        <v>1082</v>
      </c>
      <c r="X69">
        <v>20240630</v>
      </c>
      <c r="Y69" t="s">
        <v>1083</v>
      </c>
      <c r="Z69" t="s">
        <v>1084</v>
      </c>
      <c r="AA69" s="11" t="str">
        <f t="shared" si="0"/>
        <v>EXEC [dbo].[BalanceGeneralInsertar] @Nivel ='Auxiliar',@Transaccional ='Sí',@CodigoCuentaContable ='12450502', @NombreCuentaContable ='Fiducia Bancolombia ',@Identificacion ='890903938',@Sucursal ='',@NombreTercero ='Bancolombia',@SaldoInicial = -797247429.41,@MovimientoDebito = 5372.46,@MovimientoCredito =40482340,@SaldoFinal = 40482340,@Fecha ='20240630',@IdentificacionCliente = '901434038';</v>
      </c>
      <c r="AB69" t="s">
        <v>1085</v>
      </c>
    </row>
    <row r="70" spans="1:28" x14ac:dyDescent="0.25">
      <c r="A70" s="2" t="s">
        <v>28</v>
      </c>
      <c r="B70" s="2" t="s">
        <v>29</v>
      </c>
      <c r="C70" s="2" t="s">
        <v>137</v>
      </c>
      <c r="D70" s="2" t="s">
        <v>138</v>
      </c>
      <c r="E70" s="2" t="s">
        <v>119</v>
      </c>
      <c r="F70" s="2"/>
      <c r="G70" s="2" t="s">
        <v>120</v>
      </c>
      <c r="H70" s="3">
        <v>200000000</v>
      </c>
      <c r="I70" s="3">
        <v>0</v>
      </c>
      <c r="J70" s="3">
        <v>0</v>
      </c>
      <c r="K70" s="3">
        <v>200000000</v>
      </c>
      <c r="L70" t="s">
        <v>1071</v>
      </c>
      <c r="M70" t="s">
        <v>1072</v>
      </c>
      <c r="N70" t="s">
        <v>1073</v>
      </c>
      <c r="O70" t="s">
        <v>1074</v>
      </c>
      <c r="P70" t="s">
        <v>1075</v>
      </c>
      <c r="Q70" t="s">
        <v>1076</v>
      </c>
      <c r="R70" t="s">
        <v>1077</v>
      </c>
      <c r="S70" t="s">
        <v>1078</v>
      </c>
      <c r="T70" t="s">
        <v>1079</v>
      </c>
      <c r="U70" t="s">
        <v>1080</v>
      </c>
      <c r="V70" t="s">
        <v>1081</v>
      </c>
      <c r="W70" t="s">
        <v>1082</v>
      </c>
      <c r="X70">
        <v>20240630</v>
      </c>
      <c r="Y70" t="s">
        <v>1083</v>
      </c>
      <c r="Z70" t="s">
        <v>1084</v>
      </c>
      <c r="AA70" s="11" t="str">
        <f t="shared" si="0"/>
        <v>EXEC [dbo].[BalanceGeneralInsertar] @Nivel ='Auxiliar',@Transaccional ='Sí',@CodigoCuentaContable ='12450502', @NombreCuentaContable ='Fiducia Bancolombia ',@Identificacion ='80196373',@Sucursal ='',@NombreTercero ='JUAN FERNANDO DURAN LOPEZ',@SaldoInicial = 200000000,@MovimientoDebito = 0,@MovimientoCredito =0,@SaldoFinal = 0,@Fecha ='20240630',@IdentificacionCliente = '901434038';</v>
      </c>
      <c r="AB70" t="s">
        <v>1085</v>
      </c>
    </row>
    <row r="71" spans="1:28" x14ac:dyDescent="0.25">
      <c r="A71" s="2" t="s">
        <v>28</v>
      </c>
      <c r="B71" s="2" t="s">
        <v>29</v>
      </c>
      <c r="C71" s="2" t="s">
        <v>137</v>
      </c>
      <c r="D71" s="2" t="s">
        <v>138</v>
      </c>
      <c r="E71" s="2" t="s">
        <v>105</v>
      </c>
      <c r="F71" s="2"/>
      <c r="G71" s="2" t="s">
        <v>106</v>
      </c>
      <c r="H71" s="3">
        <v>114172510</v>
      </c>
      <c r="I71" s="3">
        <v>15356463</v>
      </c>
      <c r="J71" s="3">
        <v>0</v>
      </c>
      <c r="K71" s="3">
        <v>129528973</v>
      </c>
      <c r="L71" t="s">
        <v>1071</v>
      </c>
      <c r="M71" t="s">
        <v>1072</v>
      </c>
      <c r="N71" t="s">
        <v>1073</v>
      </c>
      <c r="O71" t="s">
        <v>1074</v>
      </c>
      <c r="P71" t="s">
        <v>1075</v>
      </c>
      <c r="Q71" t="s">
        <v>1076</v>
      </c>
      <c r="R71" t="s">
        <v>1077</v>
      </c>
      <c r="S71" t="s">
        <v>1078</v>
      </c>
      <c r="T71" t="s">
        <v>1079</v>
      </c>
      <c r="U71" t="s">
        <v>1080</v>
      </c>
      <c r="V71" t="s">
        <v>1081</v>
      </c>
      <c r="W71" t="s">
        <v>1082</v>
      </c>
      <c r="X71">
        <v>20240630</v>
      </c>
      <c r="Y71" t="s">
        <v>1083</v>
      </c>
      <c r="Z71" t="s">
        <v>1084</v>
      </c>
      <c r="AA71" s="11" t="str">
        <f t="shared" si="0"/>
        <v>EXEC [dbo].[BalanceGeneralInsertar] @Nivel ='Auxiliar',@Transaccional ='Sí',@CodigoCuentaContable ='12450502', @NombreCuentaContable ='Fiducia Bancolombia ',@Identificacion ='901000155',@Sucursal ='',@NombreTercero ='DELUXE BY CRISTINA JARAMILLO S.A.S',@SaldoInicial = 114172510,@MovimientoDebito = 15356463,@MovimientoCredito =0,@SaldoFinal = 0,@Fecha ='20240630',@IdentificacionCliente = '901434038';</v>
      </c>
      <c r="AB71" t="s">
        <v>1085</v>
      </c>
    </row>
    <row r="72" spans="1:28" x14ac:dyDescent="0.25">
      <c r="A72" s="2" t="s">
        <v>28</v>
      </c>
      <c r="B72" s="2" t="s">
        <v>29</v>
      </c>
      <c r="C72" s="2" t="s">
        <v>137</v>
      </c>
      <c r="D72" s="2" t="s">
        <v>138</v>
      </c>
      <c r="E72" s="2" t="s">
        <v>107</v>
      </c>
      <c r="F72" s="2"/>
      <c r="G72" s="2" t="s">
        <v>108</v>
      </c>
      <c r="H72" s="3">
        <v>-20000000</v>
      </c>
      <c r="I72" s="3">
        <v>0</v>
      </c>
      <c r="J72" s="3">
        <v>0</v>
      </c>
      <c r="K72" s="3">
        <v>-20000000</v>
      </c>
      <c r="L72" t="s">
        <v>1071</v>
      </c>
      <c r="M72" t="s">
        <v>1072</v>
      </c>
      <c r="N72" t="s">
        <v>1073</v>
      </c>
      <c r="O72" t="s">
        <v>1074</v>
      </c>
      <c r="P72" t="s">
        <v>1075</v>
      </c>
      <c r="Q72" t="s">
        <v>1076</v>
      </c>
      <c r="R72" t="s">
        <v>1077</v>
      </c>
      <c r="S72" t="s">
        <v>1078</v>
      </c>
      <c r="T72" t="s">
        <v>1079</v>
      </c>
      <c r="U72" t="s">
        <v>1080</v>
      </c>
      <c r="V72" t="s">
        <v>1081</v>
      </c>
      <c r="W72" t="s">
        <v>1082</v>
      </c>
      <c r="X72">
        <v>20240630</v>
      </c>
      <c r="Y72" t="s">
        <v>1083</v>
      </c>
      <c r="Z72" t="s">
        <v>1084</v>
      </c>
      <c r="AA72" s="11" t="str">
        <f t="shared" si="0"/>
        <v>EXEC [dbo].[BalanceGeneralInsertar] @Nivel ='Auxiliar',@Transaccional ='Sí',@CodigoCuentaContable ='12450502', @NombreCuentaContable ='Fiducia Bancolombia ',@Identificacion ='860531315',@Sucursal ='',@NombreTercero ='ALIANZA FIDUCIARIA S.A.',@SaldoInicial = -20000000,@MovimientoDebito = 0,@MovimientoCredito =0,@SaldoFinal = 0,@Fecha ='20240630',@IdentificacionCliente = '901434038';</v>
      </c>
      <c r="AB72" t="s">
        <v>1085</v>
      </c>
    </row>
    <row r="73" spans="1:28" x14ac:dyDescent="0.25">
      <c r="A73" s="2" t="s">
        <v>28</v>
      </c>
      <c r="B73" s="2" t="s">
        <v>29</v>
      </c>
      <c r="C73" s="2" t="s">
        <v>137</v>
      </c>
      <c r="D73" s="2" t="s">
        <v>138</v>
      </c>
      <c r="E73" s="2" t="s">
        <v>87</v>
      </c>
      <c r="F73" s="2"/>
      <c r="G73" s="2" t="s">
        <v>88</v>
      </c>
      <c r="H73" s="3" t="s">
        <v>718</v>
      </c>
      <c r="I73" s="3">
        <v>0</v>
      </c>
      <c r="J73" s="3">
        <v>2802349</v>
      </c>
      <c r="K73" s="3" t="s">
        <v>719</v>
      </c>
      <c r="L73" t="s">
        <v>1071</v>
      </c>
      <c r="M73" t="s">
        <v>1072</v>
      </c>
      <c r="N73" t="s">
        <v>1073</v>
      </c>
      <c r="O73" t="s">
        <v>1074</v>
      </c>
      <c r="P73" t="s">
        <v>1075</v>
      </c>
      <c r="Q73" t="s">
        <v>1076</v>
      </c>
      <c r="R73" t="s">
        <v>1077</v>
      </c>
      <c r="S73" t="s">
        <v>1078</v>
      </c>
      <c r="T73" t="s">
        <v>1079</v>
      </c>
      <c r="U73" t="s">
        <v>1080</v>
      </c>
      <c r="V73" t="s">
        <v>1081</v>
      </c>
      <c r="W73" t="s">
        <v>1082</v>
      </c>
      <c r="X73">
        <v>20240630</v>
      </c>
      <c r="Y73" t="s">
        <v>1083</v>
      </c>
      <c r="Z73" t="s">
        <v>1084</v>
      </c>
      <c r="AA73" s="11" t="str">
        <f t="shared" si="0"/>
        <v>EXEC [dbo].[BalanceGeneralInsertar] @Nivel ='Auxiliar',@Transaccional ='Sí',@CodigoCuentaContable ='12450502', @NombreCuentaContable ='Fiducia Bancolombia ',@Identificacion ='830054539',@Sucursal ='',@NombreTercero ='FIDUCIARIA BANCOLOMBIA S.A',@SaldoInicial = -160661543.83,@MovimientoDebito = 0,@MovimientoCredito =2802349,@SaldoFinal = 2802349,@Fecha ='20240630',@IdentificacionCliente = '901434038';</v>
      </c>
      <c r="AB73" t="s">
        <v>1085</v>
      </c>
    </row>
    <row r="74" spans="1:28" x14ac:dyDescent="0.25">
      <c r="A74" s="2" t="s">
        <v>28</v>
      </c>
      <c r="B74" s="2" t="s">
        <v>29</v>
      </c>
      <c r="C74" s="2" t="s">
        <v>137</v>
      </c>
      <c r="D74" s="2" t="s">
        <v>138</v>
      </c>
      <c r="E74" s="2" t="s">
        <v>89</v>
      </c>
      <c r="F74" s="2"/>
      <c r="G74" s="2" t="s">
        <v>90</v>
      </c>
      <c r="H74" s="3" t="s">
        <v>720</v>
      </c>
      <c r="I74" s="3">
        <v>7808404</v>
      </c>
      <c r="J74" s="3">
        <v>0</v>
      </c>
      <c r="K74" s="3" t="s">
        <v>721</v>
      </c>
      <c r="L74" t="s">
        <v>1071</v>
      </c>
      <c r="M74" t="s">
        <v>1072</v>
      </c>
      <c r="N74" t="s">
        <v>1073</v>
      </c>
      <c r="O74" t="s">
        <v>1074</v>
      </c>
      <c r="P74" t="s">
        <v>1075</v>
      </c>
      <c r="Q74" t="s">
        <v>1076</v>
      </c>
      <c r="R74" t="s">
        <v>1077</v>
      </c>
      <c r="S74" t="s">
        <v>1078</v>
      </c>
      <c r="T74" t="s">
        <v>1079</v>
      </c>
      <c r="U74" t="s">
        <v>1080</v>
      </c>
      <c r="V74" t="s">
        <v>1081</v>
      </c>
      <c r="W74" t="s">
        <v>1082</v>
      </c>
      <c r="X74">
        <v>20240630</v>
      </c>
      <c r="Y74" t="s">
        <v>1083</v>
      </c>
      <c r="Z74" t="s">
        <v>1084</v>
      </c>
      <c r="AA74" s="11" t="str">
        <f t="shared" ref="AA74:AA137" si="1">_xlfn.CONCAT(L74,Y74,A74,Y74,Z74,M74,Y74,B74,Y74,Z74,N74,Y74,C74,Y74,Z74,AB74,Y74,D74,Y74,Z74,O74,Y74,E74,Y74,Z74,P74,Y74,F74,Y74,Z74,Q74,Y74,G74,Y74,Z74,R74,H74,Z74,S74,I74,Z74,T74,J74,Z74,U74,J74,Z74,V74,Y74,X74,Y74,Z74,W74,Y74,"901434038",Y74,";")</f>
        <v>EXEC [dbo].[BalanceGeneralInsertar] @Nivel ='Auxiliar',@Transaccional ='Sí',@CodigoCuentaContable ='12450502', @NombreCuentaContable ='Fiducia Bancolombia ',@Identificacion ='900192072',@Sucursal ='',@NombreTercero ='SEOUL MEDICINA ESTETICA INTEGRAL Y SPA S.A.',@SaldoInicial = 236155167.54,@MovimientoDebito = 7808404,@MovimientoCredito =0,@SaldoFinal = 0,@Fecha ='20240630',@IdentificacionCliente = '901434038';</v>
      </c>
      <c r="AB74" t="s">
        <v>1085</v>
      </c>
    </row>
    <row r="75" spans="1:28" x14ac:dyDescent="0.25">
      <c r="A75" s="2" t="s">
        <v>28</v>
      </c>
      <c r="B75" s="2" t="s">
        <v>29</v>
      </c>
      <c r="C75" s="2" t="s">
        <v>137</v>
      </c>
      <c r="D75" s="2" t="s">
        <v>138</v>
      </c>
      <c r="E75" s="2" t="s">
        <v>139</v>
      </c>
      <c r="F75" s="2"/>
      <c r="G75" s="2" t="s">
        <v>140</v>
      </c>
      <c r="H75" s="3">
        <v>169328158</v>
      </c>
      <c r="I75" s="3" t="s">
        <v>722</v>
      </c>
      <c r="J75" s="3">
        <v>0</v>
      </c>
      <c r="K75" s="3" t="s">
        <v>723</v>
      </c>
      <c r="L75" t="s">
        <v>1071</v>
      </c>
      <c r="M75" t="s">
        <v>1072</v>
      </c>
      <c r="N75" t="s">
        <v>1073</v>
      </c>
      <c r="O75" t="s">
        <v>1074</v>
      </c>
      <c r="P75" t="s">
        <v>1075</v>
      </c>
      <c r="Q75" t="s">
        <v>1076</v>
      </c>
      <c r="R75" t="s">
        <v>1077</v>
      </c>
      <c r="S75" t="s">
        <v>1078</v>
      </c>
      <c r="T75" t="s">
        <v>1079</v>
      </c>
      <c r="U75" t="s">
        <v>1080</v>
      </c>
      <c r="V75" t="s">
        <v>1081</v>
      </c>
      <c r="W75" t="s">
        <v>1082</v>
      </c>
      <c r="X75">
        <v>20240630</v>
      </c>
      <c r="Y75" t="s">
        <v>1083</v>
      </c>
      <c r="Z75" t="s">
        <v>1084</v>
      </c>
      <c r="AA75" s="11" t="str">
        <f t="shared" si="1"/>
        <v>EXEC [dbo].[BalanceGeneralInsertar] @Nivel ='Auxiliar',@Transaccional ='Sí',@CodigoCuentaContable ='12450502', @NombreCuentaContable ='Fiducia Bancolombia ',@Identificacion ='900347399',@Sucursal ='',@NombreTercero ='EXPORT HEALTH SAS',@SaldoInicial = 169328158,@MovimientoDebito = 9422668.75,@MovimientoCredito =0,@SaldoFinal = 0,@Fecha ='20240630',@IdentificacionCliente = '901434038';</v>
      </c>
      <c r="AB75" t="s">
        <v>1085</v>
      </c>
    </row>
    <row r="76" spans="1:28" x14ac:dyDescent="0.25">
      <c r="A76" s="2" t="s">
        <v>28</v>
      </c>
      <c r="B76" s="2" t="s">
        <v>29</v>
      </c>
      <c r="C76" s="2" t="s">
        <v>137</v>
      </c>
      <c r="D76" s="2" t="s">
        <v>138</v>
      </c>
      <c r="E76" s="2" t="s">
        <v>79</v>
      </c>
      <c r="F76" s="2"/>
      <c r="G76" s="2" t="s">
        <v>80</v>
      </c>
      <c r="H76" s="3" t="s">
        <v>724</v>
      </c>
      <c r="I76" s="3" t="s">
        <v>725</v>
      </c>
      <c r="J76" s="3">
        <v>0</v>
      </c>
      <c r="K76" s="3" t="s">
        <v>726</v>
      </c>
      <c r="L76" t="s">
        <v>1071</v>
      </c>
      <c r="M76" t="s">
        <v>1072</v>
      </c>
      <c r="N76" t="s">
        <v>1073</v>
      </c>
      <c r="O76" t="s">
        <v>1074</v>
      </c>
      <c r="P76" t="s">
        <v>1075</v>
      </c>
      <c r="Q76" t="s">
        <v>1076</v>
      </c>
      <c r="R76" t="s">
        <v>1077</v>
      </c>
      <c r="S76" t="s">
        <v>1078</v>
      </c>
      <c r="T76" t="s">
        <v>1079</v>
      </c>
      <c r="U76" t="s">
        <v>1080</v>
      </c>
      <c r="V76" t="s">
        <v>1081</v>
      </c>
      <c r="W76" t="s">
        <v>1082</v>
      </c>
      <c r="X76">
        <v>20240630</v>
      </c>
      <c r="Y76" t="s">
        <v>1083</v>
      </c>
      <c r="Z76" t="s">
        <v>1084</v>
      </c>
      <c r="AA76" s="11" t="str">
        <f t="shared" si="1"/>
        <v>EXEC [dbo].[BalanceGeneralInsertar] @Nivel ='Auxiliar',@Transaccional ='Sí',@CodigoCuentaContable ='12450502', @NombreCuentaContable ='Fiducia Bancolombia ',@Identificacion ='901456421',@Sucursal ='',@NombreTercero ='DELUXE ORIENTE S.A.S',@SaldoInicial = 121472482.33,@MovimientoDebito = 10500000.7,@MovimientoCredito =0,@SaldoFinal = 0,@Fecha ='20240630',@IdentificacionCliente = '901434038';</v>
      </c>
      <c r="AB76" t="s">
        <v>1085</v>
      </c>
    </row>
    <row r="77" spans="1:28" x14ac:dyDescent="0.25">
      <c r="A77" s="2" t="s">
        <v>28</v>
      </c>
      <c r="B77" s="2" t="s">
        <v>29</v>
      </c>
      <c r="C77" s="2" t="s">
        <v>137</v>
      </c>
      <c r="D77" s="2" t="s">
        <v>138</v>
      </c>
      <c r="E77" s="2" t="s">
        <v>141</v>
      </c>
      <c r="F77" s="2"/>
      <c r="G77" s="2" t="s">
        <v>142</v>
      </c>
      <c r="H77" s="3" t="s">
        <v>727</v>
      </c>
      <c r="I77" s="3" t="s">
        <v>728</v>
      </c>
      <c r="J77" s="3">
        <v>0</v>
      </c>
      <c r="K77" s="3" t="s">
        <v>729</v>
      </c>
      <c r="L77" t="s">
        <v>1071</v>
      </c>
      <c r="M77" t="s">
        <v>1072</v>
      </c>
      <c r="N77" t="s">
        <v>1073</v>
      </c>
      <c r="O77" t="s">
        <v>1074</v>
      </c>
      <c r="P77" t="s">
        <v>1075</v>
      </c>
      <c r="Q77" t="s">
        <v>1076</v>
      </c>
      <c r="R77" t="s">
        <v>1077</v>
      </c>
      <c r="S77" t="s">
        <v>1078</v>
      </c>
      <c r="T77" t="s">
        <v>1079</v>
      </c>
      <c r="U77" t="s">
        <v>1080</v>
      </c>
      <c r="V77" t="s">
        <v>1081</v>
      </c>
      <c r="W77" t="s">
        <v>1082</v>
      </c>
      <c r="X77">
        <v>20240630</v>
      </c>
      <c r="Y77" t="s">
        <v>1083</v>
      </c>
      <c r="Z77" t="s">
        <v>1084</v>
      </c>
      <c r="AA77" s="11" t="str">
        <f t="shared" si="1"/>
        <v>EXEC [dbo].[BalanceGeneralInsertar] @Nivel ='Auxiliar',@Transaccional ='Sí',@CodigoCuentaContable ='12450502', @NombreCuentaContable ='Fiducia Bancolombia ',@Identificacion ='901451874',@Sucursal ='',@NombreTercero ='CABARCAS GROUP S.A.S.',@SaldoInicial = 162661343.96,@MovimientoDebito = 9021634.16,@MovimientoCredito =0,@SaldoFinal = 0,@Fecha ='20240630',@IdentificacionCliente = '901434038';</v>
      </c>
      <c r="AB77" t="s">
        <v>1085</v>
      </c>
    </row>
    <row r="78" spans="1:28" x14ac:dyDescent="0.25">
      <c r="A78" s="2" t="s">
        <v>28</v>
      </c>
      <c r="B78" s="2" t="s">
        <v>29</v>
      </c>
      <c r="C78" s="2" t="s">
        <v>137</v>
      </c>
      <c r="D78" s="2" t="s">
        <v>138</v>
      </c>
      <c r="E78" s="2" t="s">
        <v>67</v>
      </c>
      <c r="F78" s="2"/>
      <c r="G78" s="2" t="s">
        <v>68</v>
      </c>
      <c r="H78" s="3" t="s">
        <v>730</v>
      </c>
      <c r="I78" s="3">
        <v>0</v>
      </c>
      <c r="J78" s="3">
        <v>0</v>
      </c>
      <c r="K78" s="3" t="s">
        <v>730</v>
      </c>
      <c r="L78" t="s">
        <v>1071</v>
      </c>
      <c r="M78" t="s">
        <v>1072</v>
      </c>
      <c r="N78" t="s">
        <v>1073</v>
      </c>
      <c r="O78" t="s">
        <v>1074</v>
      </c>
      <c r="P78" t="s">
        <v>1075</v>
      </c>
      <c r="Q78" t="s">
        <v>1076</v>
      </c>
      <c r="R78" t="s">
        <v>1077</v>
      </c>
      <c r="S78" t="s">
        <v>1078</v>
      </c>
      <c r="T78" t="s">
        <v>1079</v>
      </c>
      <c r="U78" t="s">
        <v>1080</v>
      </c>
      <c r="V78" t="s">
        <v>1081</v>
      </c>
      <c r="W78" t="s">
        <v>1082</v>
      </c>
      <c r="X78">
        <v>20240630</v>
      </c>
      <c r="Y78" t="s">
        <v>1083</v>
      </c>
      <c r="Z78" t="s">
        <v>1084</v>
      </c>
      <c r="AA78" s="11" t="str">
        <f t="shared" si="1"/>
        <v>EXEC [dbo].[BalanceGeneralInsertar] @Nivel ='Auxiliar',@Transaccional ='Sí',@CodigoCuentaContable ='12450502', @NombreCuentaContable ='Fiducia Bancolombia ',@Identificacion ='805020770',@Sucursal ='',@NombreTercero ='EUTOESTETICA SAS',@SaldoInicial = 58352226.45,@MovimientoDebito = 0,@MovimientoCredito =0,@SaldoFinal = 0,@Fecha ='20240630',@IdentificacionCliente = '901434038';</v>
      </c>
      <c r="AB78" t="s">
        <v>1085</v>
      </c>
    </row>
    <row r="79" spans="1:28" x14ac:dyDescent="0.25">
      <c r="A79" s="2" t="s">
        <v>28</v>
      </c>
      <c r="B79" s="2" t="s">
        <v>29</v>
      </c>
      <c r="C79" s="2" t="s">
        <v>143</v>
      </c>
      <c r="D79" s="2" t="s">
        <v>144</v>
      </c>
      <c r="E79" s="2" t="s">
        <v>113</v>
      </c>
      <c r="F79" s="2"/>
      <c r="G79" s="2" t="s">
        <v>114</v>
      </c>
      <c r="H79" s="3">
        <v>-1393800</v>
      </c>
      <c r="I79" s="3">
        <v>0</v>
      </c>
      <c r="J79" s="3">
        <v>0</v>
      </c>
      <c r="K79" s="3">
        <v>-1393800</v>
      </c>
      <c r="L79" t="s">
        <v>1071</v>
      </c>
      <c r="M79" t="s">
        <v>1072</v>
      </c>
      <c r="N79" t="s">
        <v>1073</v>
      </c>
      <c r="O79" t="s">
        <v>1074</v>
      </c>
      <c r="P79" t="s">
        <v>1075</v>
      </c>
      <c r="Q79" t="s">
        <v>1076</v>
      </c>
      <c r="R79" t="s">
        <v>1077</v>
      </c>
      <c r="S79" t="s">
        <v>1078</v>
      </c>
      <c r="T79" t="s">
        <v>1079</v>
      </c>
      <c r="U79" t="s">
        <v>1080</v>
      </c>
      <c r="V79" t="s">
        <v>1081</v>
      </c>
      <c r="W79" t="s">
        <v>1082</v>
      </c>
      <c r="X79">
        <v>20240630</v>
      </c>
      <c r="Y79" t="s">
        <v>1083</v>
      </c>
      <c r="Z79" t="s">
        <v>1084</v>
      </c>
      <c r="AA79" s="11" t="str">
        <f t="shared" si="1"/>
        <v>EXEC [dbo].[BalanceGeneralInsertar] @Nivel ='Auxiliar',@Transaccional ='Sí',@CodigoCuentaContable ='12450503', @NombreCuentaContable ='Fondo Abierto Alianza 10030028092',@Identificacion ='901398776',@Sucursal ='',@NombreTercero ='SERVICIOS FINANCIEROS OPERATIVOS FINANCIEROS SAS',@SaldoInicial = -1393800,@MovimientoDebito = 0,@MovimientoCredito =0,@SaldoFinal = 0,@Fecha ='20240630',@IdentificacionCliente = '901434038';</v>
      </c>
      <c r="AB79" t="s">
        <v>1085</v>
      </c>
    </row>
    <row r="80" spans="1:28" x14ac:dyDescent="0.25">
      <c r="A80" s="2" t="s">
        <v>28</v>
      </c>
      <c r="B80" s="2" t="s">
        <v>29</v>
      </c>
      <c r="C80" s="2" t="s">
        <v>143</v>
      </c>
      <c r="D80" s="2" t="s">
        <v>144</v>
      </c>
      <c r="E80" s="2" t="s">
        <v>99</v>
      </c>
      <c r="F80" s="2"/>
      <c r="G80" s="2" t="s">
        <v>100</v>
      </c>
      <c r="H80" s="3">
        <v>-52800000</v>
      </c>
      <c r="I80" s="3">
        <v>0</v>
      </c>
      <c r="J80" s="3">
        <v>0</v>
      </c>
      <c r="K80" s="3">
        <v>-52800000</v>
      </c>
      <c r="L80" t="s">
        <v>1071</v>
      </c>
      <c r="M80" t="s">
        <v>1072</v>
      </c>
      <c r="N80" t="s">
        <v>1073</v>
      </c>
      <c r="O80" t="s">
        <v>1074</v>
      </c>
      <c r="P80" t="s">
        <v>1075</v>
      </c>
      <c r="Q80" t="s">
        <v>1076</v>
      </c>
      <c r="R80" t="s">
        <v>1077</v>
      </c>
      <c r="S80" t="s">
        <v>1078</v>
      </c>
      <c r="T80" t="s">
        <v>1079</v>
      </c>
      <c r="U80" t="s">
        <v>1080</v>
      </c>
      <c r="V80" t="s">
        <v>1081</v>
      </c>
      <c r="W80" t="s">
        <v>1082</v>
      </c>
      <c r="X80">
        <v>20240630</v>
      </c>
      <c r="Y80" t="s">
        <v>1083</v>
      </c>
      <c r="Z80" t="s">
        <v>1084</v>
      </c>
      <c r="AA80" s="11" t="str">
        <f t="shared" si="1"/>
        <v>EXEC [dbo].[BalanceGeneralInsertar] @Nivel ='Auxiliar',@Transaccional ='Sí',@CodigoCuentaContable ='12450503', @NombreCuentaContable ='Fondo Abierto Alianza 10030028092',@Identificacion ='900397663',@Sucursal ='',@NombreTercero ='BTL COLOMBIA SAS',@SaldoInicial = -52800000,@MovimientoDebito = 0,@MovimientoCredito =0,@SaldoFinal = 0,@Fecha ='20240630',@IdentificacionCliente = '901434038';</v>
      </c>
      <c r="AB80" t="s">
        <v>1085</v>
      </c>
    </row>
    <row r="81" spans="1:28" x14ac:dyDescent="0.25">
      <c r="A81" s="2" t="s">
        <v>28</v>
      </c>
      <c r="B81" s="2" t="s">
        <v>29</v>
      </c>
      <c r="C81" s="2" t="s">
        <v>143</v>
      </c>
      <c r="D81" s="2" t="s">
        <v>144</v>
      </c>
      <c r="E81" s="2" t="s">
        <v>107</v>
      </c>
      <c r="F81" s="2"/>
      <c r="G81" s="2" t="s">
        <v>108</v>
      </c>
      <c r="H81" s="3" t="s">
        <v>731</v>
      </c>
      <c r="I81" s="3" t="s">
        <v>732</v>
      </c>
      <c r="J81" s="3">
        <v>0</v>
      </c>
      <c r="K81" s="3" t="s">
        <v>733</v>
      </c>
      <c r="L81" t="s">
        <v>1071</v>
      </c>
      <c r="M81" t="s">
        <v>1072</v>
      </c>
      <c r="N81" t="s">
        <v>1073</v>
      </c>
      <c r="O81" t="s">
        <v>1074</v>
      </c>
      <c r="P81" t="s">
        <v>1075</v>
      </c>
      <c r="Q81" t="s">
        <v>1076</v>
      </c>
      <c r="R81" t="s">
        <v>1077</v>
      </c>
      <c r="S81" t="s">
        <v>1078</v>
      </c>
      <c r="T81" t="s">
        <v>1079</v>
      </c>
      <c r="U81" t="s">
        <v>1080</v>
      </c>
      <c r="V81" t="s">
        <v>1081</v>
      </c>
      <c r="W81" t="s">
        <v>1082</v>
      </c>
      <c r="X81">
        <v>20240630</v>
      </c>
      <c r="Y81" t="s">
        <v>1083</v>
      </c>
      <c r="Z81" t="s">
        <v>1084</v>
      </c>
      <c r="AA81" s="11" t="str">
        <f t="shared" si="1"/>
        <v>EXEC [dbo].[BalanceGeneralInsertar] @Nivel ='Auxiliar',@Transaccional ='Sí',@CodigoCuentaContable ='12450503', @NombreCuentaContable ='Fondo Abierto Alianza 10030028092',@Identificacion ='860531315',@Sucursal ='',@NombreTercero ='ALIANZA FIDUCIARIA S.A.',@SaldoInicial = 54195315.09,@MovimientoDebito = 9.25,@MovimientoCredito =0,@SaldoFinal = 0,@Fecha ='20240630',@IdentificacionCliente = '901434038';</v>
      </c>
      <c r="AB81" t="s">
        <v>1085</v>
      </c>
    </row>
    <row r="82" spans="1:28" x14ac:dyDescent="0.25">
      <c r="A82" s="2" t="s">
        <v>19</v>
      </c>
      <c r="B82" s="2" t="s">
        <v>16</v>
      </c>
      <c r="C82" s="2" t="s">
        <v>145</v>
      </c>
      <c r="D82" s="2" t="s">
        <v>146</v>
      </c>
      <c r="E82" s="2"/>
      <c r="F82" s="2"/>
      <c r="G82" s="2"/>
      <c r="H82" s="3" t="s">
        <v>734</v>
      </c>
      <c r="I82" s="3" t="s">
        <v>735</v>
      </c>
      <c r="J82" s="3" t="s">
        <v>736</v>
      </c>
      <c r="K82" s="3" t="s">
        <v>737</v>
      </c>
      <c r="L82" t="s">
        <v>1071</v>
      </c>
      <c r="M82" t="s">
        <v>1072</v>
      </c>
      <c r="N82" t="s">
        <v>1073</v>
      </c>
      <c r="O82" t="s">
        <v>1074</v>
      </c>
      <c r="P82" t="s">
        <v>1075</v>
      </c>
      <c r="Q82" t="s">
        <v>1076</v>
      </c>
      <c r="R82" t="s">
        <v>1077</v>
      </c>
      <c r="S82" t="s">
        <v>1078</v>
      </c>
      <c r="T82" t="s">
        <v>1079</v>
      </c>
      <c r="U82" t="s">
        <v>1080</v>
      </c>
      <c r="V82" t="s">
        <v>1081</v>
      </c>
      <c r="W82" t="s">
        <v>1082</v>
      </c>
      <c r="X82">
        <v>20240630</v>
      </c>
      <c r="Y82" t="s">
        <v>1083</v>
      </c>
      <c r="Z82" t="s">
        <v>1084</v>
      </c>
      <c r="AA82" s="11" t="str">
        <f t="shared" si="1"/>
        <v>EXEC [dbo].[BalanceGeneralInsertar] @Nivel ='Grupo',@Transaccional ='No',@CodigoCuentaContable ='13', @NombreCuentaContable ='Deudores comerciales y otras cuentas por cobrar',@Identificacion ='',@Sucursal ='',@NombreTercero ='',@SaldoInicial = 654793520.41,@MovimientoDebito = 114482735.32,@MovimientoCredito =128828042.19,@SaldoFinal = 128828042.19,@Fecha ='20240630',@IdentificacionCliente = '901434038';</v>
      </c>
      <c r="AB82" t="s">
        <v>1085</v>
      </c>
    </row>
    <row r="83" spans="1:28" x14ac:dyDescent="0.25">
      <c r="A83" s="2" t="s">
        <v>22</v>
      </c>
      <c r="B83" s="2" t="s">
        <v>16</v>
      </c>
      <c r="C83" s="2" t="s">
        <v>147</v>
      </c>
      <c r="D83" s="2" t="s">
        <v>148</v>
      </c>
      <c r="E83" s="2"/>
      <c r="F83" s="2"/>
      <c r="G83" s="2"/>
      <c r="H83" s="3" t="s">
        <v>738</v>
      </c>
      <c r="I83" s="3">
        <v>111969840</v>
      </c>
      <c r="J83" s="3" t="s">
        <v>739</v>
      </c>
      <c r="K83" s="3" t="s">
        <v>740</v>
      </c>
      <c r="L83" t="s">
        <v>1071</v>
      </c>
      <c r="M83" t="s">
        <v>1072</v>
      </c>
      <c r="N83" t="s">
        <v>1073</v>
      </c>
      <c r="O83" t="s">
        <v>1074</v>
      </c>
      <c r="P83" t="s">
        <v>1075</v>
      </c>
      <c r="Q83" t="s">
        <v>1076</v>
      </c>
      <c r="R83" t="s">
        <v>1077</v>
      </c>
      <c r="S83" t="s">
        <v>1078</v>
      </c>
      <c r="T83" t="s">
        <v>1079</v>
      </c>
      <c r="U83" t="s">
        <v>1080</v>
      </c>
      <c r="V83" t="s">
        <v>1081</v>
      </c>
      <c r="W83" t="s">
        <v>1082</v>
      </c>
      <c r="X83">
        <v>20240630</v>
      </c>
      <c r="Y83" t="s">
        <v>1083</v>
      </c>
      <c r="Z83" t="s">
        <v>1084</v>
      </c>
      <c r="AA83" s="11" t="str">
        <f t="shared" si="1"/>
        <v>EXEC [dbo].[BalanceGeneralInsertar] @Nivel ='Cuenta',@Transaccional ='No',@CodigoCuentaContable ='1305', @NombreCuentaContable ='Clientes nacionales',@Identificacion ='',@Sucursal ='',@NombreTercero ='',@SaldoInicial = 194419599.25,@MovimientoDebito = 111969840,@MovimientoCredito =91435042.19,@SaldoFinal = 91435042.19,@Fecha ='20240630',@IdentificacionCliente = '901434038';</v>
      </c>
      <c r="AB83" t="s">
        <v>1085</v>
      </c>
    </row>
    <row r="84" spans="1:28" x14ac:dyDescent="0.25">
      <c r="A84" s="2" t="s">
        <v>25</v>
      </c>
      <c r="B84" s="2" t="s">
        <v>16</v>
      </c>
      <c r="C84" s="2" t="s">
        <v>149</v>
      </c>
      <c r="D84" s="2" t="s">
        <v>148</v>
      </c>
      <c r="E84" s="2"/>
      <c r="F84" s="2"/>
      <c r="G84" s="2"/>
      <c r="H84" s="3" t="s">
        <v>738</v>
      </c>
      <c r="I84" s="3">
        <v>111969840</v>
      </c>
      <c r="J84" s="3" t="s">
        <v>739</v>
      </c>
      <c r="K84" s="3" t="s">
        <v>740</v>
      </c>
      <c r="L84" t="s">
        <v>1071</v>
      </c>
      <c r="M84" t="s">
        <v>1072</v>
      </c>
      <c r="N84" t="s">
        <v>1073</v>
      </c>
      <c r="O84" t="s">
        <v>1074</v>
      </c>
      <c r="P84" t="s">
        <v>1075</v>
      </c>
      <c r="Q84" t="s">
        <v>1076</v>
      </c>
      <c r="R84" t="s">
        <v>1077</v>
      </c>
      <c r="S84" t="s">
        <v>1078</v>
      </c>
      <c r="T84" t="s">
        <v>1079</v>
      </c>
      <c r="U84" t="s">
        <v>1080</v>
      </c>
      <c r="V84" t="s">
        <v>1081</v>
      </c>
      <c r="W84" t="s">
        <v>1082</v>
      </c>
      <c r="X84">
        <v>20240630</v>
      </c>
      <c r="Y84" t="s">
        <v>1083</v>
      </c>
      <c r="Z84" t="s">
        <v>1084</v>
      </c>
      <c r="AA84" s="11" t="str">
        <f t="shared" si="1"/>
        <v>EXEC [dbo].[BalanceGeneralInsertar] @Nivel ='Subcuenta',@Transaccional ='No',@CodigoCuentaContable ='130505', @NombreCuentaContable ='Clientes nacionales',@Identificacion ='',@Sucursal ='',@NombreTercero ='',@SaldoInicial = 194419599.25,@MovimientoDebito = 111969840,@MovimientoCredito =91435042.19,@SaldoFinal = 91435042.19,@Fecha ='20240630',@IdentificacionCliente = '901434038';</v>
      </c>
      <c r="AB84" t="s">
        <v>1085</v>
      </c>
    </row>
    <row r="85" spans="1:28" x14ac:dyDescent="0.25">
      <c r="A85" s="2" t="s">
        <v>28</v>
      </c>
      <c r="B85" s="2" t="s">
        <v>29</v>
      </c>
      <c r="C85" s="2" t="s">
        <v>150</v>
      </c>
      <c r="D85" s="2" t="s">
        <v>151</v>
      </c>
      <c r="E85" s="2" t="s">
        <v>105</v>
      </c>
      <c r="F85" s="2"/>
      <c r="G85" s="2" t="s">
        <v>106</v>
      </c>
      <c r="H85" s="3" t="s">
        <v>741</v>
      </c>
      <c r="I85" s="3">
        <v>5533333</v>
      </c>
      <c r="J85" s="3">
        <v>19116863</v>
      </c>
      <c r="K85" s="3" t="s">
        <v>742</v>
      </c>
      <c r="L85" t="s">
        <v>1071</v>
      </c>
      <c r="M85" t="s">
        <v>1072</v>
      </c>
      <c r="N85" t="s">
        <v>1073</v>
      </c>
      <c r="O85" t="s">
        <v>1074</v>
      </c>
      <c r="P85" t="s">
        <v>1075</v>
      </c>
      <c r="Q85" t="s">
        <v>1076</v>
      </c>
      <c r="R85" t="s">
        <v>1077</v>
      </c>
      <c r="S85" t="s">
        <v>1078</v>
      </c>
      <c r="T85" t="s">
        <v>1079</v>
      </c>
      <c r="U85" t="s">
        <v>1080</v>
      </c>
      <c r="V85" t="s">
        <v>1081</v>
      </c>
      <c r="W85" t="s">
        <v>1082</v>
      </c>
      <c r="X85">
        <v>20240630</v>
      </c>
      <c r="Y85" t="s">
        <v>1083</v>
      </c>
      <c r="Z85" t="s">
        <v>1084</v>
      </c>
      <c r="AA85" s="11" t="str">
        <f t="shared" si="1"/>
        <v>EXEC [dbo].[BalanceGeneralInsertar] @Nivel ='Auxiliar',@Transaccional ='Sí',@CodigoCuentaContable ='13050502', @NombreCuentaContable ='Clientes nacionales Daxa',@Identificacion ='901000155',@Sucursal ='',@NombreTercero ='DELUXE BY CRISTINA JARAMILLO S.A.S',@SaldoInicial = 23180175.12,@MovimientoDebito = 5533333,@MovimientoCredito =19116863,@SaldoFinal = 19116863,@Fecha ='20240630',@IdentificacionCliente = '901434038';</v>
      </c>
      <c r="AB85" t="s">
        <v>1085</v>
      </c>
    </row>
    <row r="86" spans="1:28" x14ac:dyDescent="0.25">
      <c r="A86" s="2" t="s">
        <v>28</v>
      </c>
      <c r="B86" s="2" t="s">
        <v>29</v>
      </c>
      <c r="C86" s="2" t="s">
        <v>150</v>
      </c>
      <c r="D86" s="2" t="s">
        <v>151</v>
      </c>
      <c r="E86" s="2" t="s">
        <v>89</v>
      </c>
      <c r="F86" s="2"/>
      <c r="G86" s="2" t="s">
        <v>90</v>
      </c>
      <c r="H86" s="3">
        <v>0</v>
      </c>
      <c r="I86" s="3" t="s">
        <v>743</v>
      </c>
      <c r="J86" s="3" t="s">
        <v>743</v>
      </c>
      <c r="K86" s="3">
        <v>0</v>
      </c>
      <c r="L86" t="s">
        <v>1071</v>
      </c>
      <c r="M86" t="s">
        <v>1072</v>
      </c>
      <c r="N86" t="s">
        <v>1073</v>
      </c>
      <c r="O86" t="s">
        <v>1074</v>
      </c>
      <c r="P86" t="s">
        <v>1075</v>
      </c>
      <c r="Q86" t="s">
        <v>1076</v>
      </c>
      <c r="R86" t="s">
        <v>1077</v>
      </c>
      <c r="S86" t="s">
        <v>1078</v>
      </c>
      <c r="T86" t="s">
        <v>1079</v>
      </c>
      <c r="U86" t="s">
        <v>1080</v>
      </c>
      <c r="V86" t="s">
        <v>1081</v>
      </c>
      <c r="W86" t="s">
        <v>1082</v>
      </c>
      <c r="X86">
        <v>20240630</v>
      </c>
      <c r="Y86" t="s">
        <v>1083</v>
      </c>
      <c r="Z86" t="s">
        <v>1084</v>
      </c>
      <c r="AA86" s="11" t="str">
        <f t="shared" si="1"/>
        <v>EXEC [dbo].[BalanceGeneralInsertar] @Nivel ='Auxiliar',@Transaccional ='Sí',@CodigoCuentaContable ='13050502', @NombreCuentaContable ='Clientes nacionales Daxa',@Identificacion ='900192072',@Sucursal ='',@NombreTercero ='SEOUL MEDICINA ESTETICA INTEGRAL Y SPA S.A.',@SaldoInicial = 0,@MovimientoDebito = 7808403.27,@MovimientoCredito =7808403.27,@SaldoFinal = 7808403.27,@Fecha ='20240630',@IdentificacionCliente = '901434038';</v>
      </c>
      <c r="AB86" t="s">
        <v>1085</v>
      </c>
    </row>
    <row r="87" spans="1:28" x14ac:dyDescent="0.25">
      <c r="A87" s="2" t="s">
        <v>28</v>
      </c>
      <c r="B87" s="2" t="s">
        <v>29</v>
      </c>
      <c r="C87" s="2" t="s">
        <v>150</v>
      </c>
      <c r="D87" s="2" t="s">
        <v>151</v>
      </c>
      <c r="E87" s="2" t="s">
        <v>139</v>
      </c>
      <c r="F87" s="2"/>
      <c r="G87" s="2" t="s">
        <v>140</v>
      </c>
      <c r="H87" s="3">
        <v>0</v>
      </c>
      <c r="I87" s="3" t="s">
        <v>722</v>
      </c>
      <c r="J87" s="3" t="s">
        <v>722</v>
      </c>
      <c r="K87" s="3">
        <v>0</v>
      </c>
      <c r="L87" t="s">
        <v>1071</v>
      </c>
      <c r="M87" t="s">
        <v>1072</v>
      </c>
      <c r="N87" t="s">
        <v>1073</v>
      </c>
      <c r="O87" t="s">
        <v>1074</v>
      </c>
      <c r="P87" t="s">
        <v>1075</v>
      </c>
      <c r="Q87" t="s">
        <v>1076</v>
      </c>
      <c r="R87" t="s">
        <v>1077</v>
      </c>
      <c r="S87" t="s">
        <v>1078</v>
      </c>
      <c r="T87" t="s">
        <v>1079</v>
      </c>
      <c r="U87" t="s">
        <v>1080</v>
      </c>
      <c r="V87" t="s">
        <v>1081</v>
      </c>
      <c r="W87" t="s">
        <v>1082</v>
      </c>
      <c r="X87">
        <v>20240630</v>
      </c>
      <c r="Y87" t="s">
        <v>1083</v>
      </c>
      <c r="Z87" t="s">
        <v>1084</v>
      </c>
      <c r="AA87" s="11" t="str">
        <f t="shared" si="1"/>
        <v>EXEC [dbo].[BalanceGeneralInsertar] @Nivel ='Auxiliar',@Transaccional ='Sí',@CodigoCuentaContable ='13050502', @NombreCuentaContable ='Clientes nacionales Daxa',@Identificacion ='900347399',@Sucursal ='',@NombreTercero ='EXPORT HEALTH SAS',@SaldoInicial = 0,@MovimientoDebito = 9422668.75,@MovimientoCredito =9422668.75,@SaldoFinal = 9422668.75,@Fecha ='20240630',@IdentificacionCliente = '901434038';</v>
      </c>
      <c r="AB87" t="s">
        <v>1085</v>
      </c>
    </row>
    <row r="88" spans="1:28" x14ac:dyDescent="0.25">
      <c r="A88" s="2" t="s">
        <v>28</v>
      </c>
      <c r="B88" s="2" t="s">
        <v>29</v>
      </c>
      <c r="C88" s="2" t="s">
        <v>150</v>
      </c>
      <c r="D88" s="2" t="s">
        <v>151</v>
      </c>
      <c r="E88" s="2" t="s">
        <v>79</v>
      </c>
      <c r="F88" s="2"/>
      <c r="G88" s="2" t="s">
        <v>80</v>
      </c>
      <c r="H88" s="3" t="s">
        <v>744</v>
      </c>
      <c r="I88" s="3" t="s">
        <v>745</v>
      </c>
      <c r="J88" s="3" t="s">
        <v>725</v>
      </c>
      <c r="K88" s="3" t="s">
        <v>746</v>
      </c>
      <c r="L88" t="s">
        <v>1071</v>
      </c>
      <c r="M88" t="s">
        <v>1072</v>
      </c>
      <c r="N88" t="s">
        <v>1073</v>
      </c>
      <c r="O88" t="s">
        <v>1074</v>
      </c>
      <c r="P88" t="s">
        <v>1075</v>
      </c>
      <c r="Q88" t="s">
        <v>1076</v>
      </c>
      <c r="R88" t="s">
        <v>1077</v>
      </c>
      <c r="S88" t="s">
        <v>1078</v>
      </c>
      <c r="T88" t="s">
        <v>1079</v>
      </c>
      <c r="U88" t="s">
        <v>1080</v>
      </c>
      <c r="V88" t="s">
        <v>1081</v>
      </c>
      <c r="W88" t="s">
        <v>1082</v>
      </c>
      <c r="X88">
        <v>20240630</v>
      </c>
      <c r="Y88" t="s">
        <v>1083</v>
      </c>
      <c r="Z88" t="s">
        <v>1084</v>
      </c>
      <c r="AA88" s="11" t="str">
        <f t="shared" si="1"/>
        <v>EXEC [dbo].[BalanceGeneralInsertar] @Nivel ='Auxiliar',@Transaccional ='Sí',@CodigoCuentaContable ='13050502', @NombreCuentaContable ='Clientes nacionales Daxa',@Identificacion ='901456421',@Sucursal ='',@NombreTercero ='DELUXE ORIENTE S.A.S',@SaldoInicial = 26389824.29,@MovimientoDebito = 14243631.3,@MovimientoCredito =10500000.7,@SaldoFinal = 10500000.7,@Fecha ='20240630',@IdentificacionCliente = '901434038';</v>
      </c>
      <c r="AB88" t="s">
        <v>1085</v>
      </c>
    </row>
    <row r="89" spans="1:28" x14ac:dyDescent="0.25">
      <c r="A89" s="2" t="s">
        <v>28</v>
      </c>
      <c r="B89" s="2" t="s">
        <v>29</v>
      </c>
      <c r="C89" s="2" t="s">
        <v>150</v>
      </c>
      <c r="D89" s="2" t="s">
        <v>151</v>
      </c>
      <c r="E89" s="2" t="s">
        <v>141</v>
      </c>
      <c r="F89" s="2"/>
      <c r="G89" s="2" t="s">
        <v>142</v>
      </c>
      <c r="H89" s="3" t="s">
        <v>747</v>
      </c>
      <c r="I89" s="3" t="s">
        <v>728</v>
      </c>
      <c r="J89" s="3" t="s">
        <v>728</v>
      </c>
      <c r="K89" s="3" t="s">
        <v>747</v>
      </c>
      <c r="L89" t="s">
        <v>1071</v>
      </c>
      <c r="M89" t="s">
        <v>1072</v>
      </c>
      <c r="N89" t="s">
        <v>1073</v>
      </c>
      <c r="O89" t="s">
        <v>1074</v>
      </c>
      <c r="P89" t="s">
        <v>1075</v>
      </c>
      <c r="Q89" t="s">
        <v>1076</v>
      </c>
      <c r="R89" t="s">
        <v>1077</v>
      </c>
      <c r="S89" t="s">
        <v>1078</v>
      </c>
      <c r="T89" t="s">
        <v>1079</v>
      </c>
      <c r="U89" t="s">
        <v>1080</v>
      </c>
      <c r="V89" t="s">
        <v>1081</v>
      </c>
      <c r="W89" t="s">
        <v>1082</v>
      </c>
      <c r="X89">
        <v>20240630</v>
      </c>
      <c r="Y89" t="s">
        <v>1083</v>
      </c>
      <c r="Z89" t="s">
        <v>1084</v>
      </c>
      <c r="AA89" s="11" t="str">
        <f t="shared" si="1"/>
        <v>EXEC [dbo].[BalanceGeneralInsertar] @Nivel ='Auxiliar',@Transaccional ='Sí',@CodigoCuentaContable ='13050502', @NombreCuentaContable ='Clientes nacionales Daxa',@Identificacion ='901451874',@Sucursal ='',@NombreTercero ='CABARCAS GROUP S.A.S.',@SaldoInicial = 18043268.32,@MovimientoDebito = 9021634.16,@MovimientoCredito =9021634.16,@SaldoFinal = 9021634.16,@Fecha ='20240630',@IdentificacionCliente = '901434038';</v>
      </c>
      <c r="AB89" t="s">
        <v>1085</v>
      </c>
    </row>
    <row r="90" spans="1:28" x14ac:dyDescent="0.25">
      <c r="A90" s="2" t="s">
        <v>28</v>
      </c>
      <c r="B90" s="2" t="s">
        <v>29</v>
      </c>
      <c r="C90" s="2" t="s">
        <v>150</v>
      </c>
      <c r="D90" s="2" t="s">
        <v>151</v>
      </c>
      <c r="E90" s="2" t="s">
        <v>85</v>
      </c>
      <c r="F90" s="2"/>
      <c r="G90" s="2" t="s">
        <v>86</v>
      </c>
      <c r="H90" s="3" t="s">
        <v>748</v>
      </c>
      <c r="I90" s="3" t="s">
        <v>749</v>
      </c>
      <c r="J90" s="3">
        <v>7900000</v>
      </c>
      <c r="K90" s="3" t="s">
        <v>750</v>
      </c>
      <c r="L90" t="s">
        <v>1071</v>
      </c>
      <c r="M90" t="s">
        <v>1072</v>
      </c>
      <c r="N90" t="s">
        <v>1073</v>
      </c>
      <c r="O90" t="s">
        <v>1074</v>
      </c>
      <c r="P90" t="s">
        <v>1075</v>
      </c>
      <c r="Q90" t="s">
        <v>1076</v>
      </c>
      <c r="R90" t="s">
        <v>1077</v>
      </c>
      <c r="S90" t="s">
        <v>1078</v>
      </c>
      <c r="T90" t="s">
        <v>1079</v>
      </c>
      <c r="U90" t="s">
        <v>1080</v>
      </c>
      <c r="V90" t="s">
        <v>1081</v>
      </c>
      <c r="W90" t="s">
        <v>1082</v>
      </c>
      <c r="X90">
        <v>20240630</v>
      </c>
      <c r="Y90" t="s">
        <v>1083</v>
      </c>
      <c r="Z90" t="s">
        <v>1084</v>
      </c>
      <c r="AA90" s="11" t="str">
        <f t="shared" si="1"/>
        <v>EXEC [dbo].[BalanceGeneralInsertar] @Nivel ='Auxiliar',@Transaccional ='Sí',@CodigoCuentaContable ='13050502', @NombreCuentaContable ='Clientes nacionales Daxa',@Identificacion ='901476016',@Sucursal ='',@NombreTercero ='ALESTETIC RIONEGRO S.A.S',@SaldoInicial = 15125717.06,@MovimientoDebito = 7891392.04,@MovimientoCredito =7900000,@SaldoFinal = 7900000,@Fecha ='20240630',@IdentificacionCliente = '901434038';</v>
      </c>
      <c r="AB90" t="s">
        <v>1085</v>
      </c>
    </row>
    <row r="91" spans="1:28" x14ac:dyDescent="0.25">
      <c r="A91" s="2" t="s">
        <v>28</v>
      </c>
      <c r="B91" s="2" t="s">
        <v>29</v>
      </c>
      <c r="C91" s="2" t="s">
        <v>150</v>
      </c>
      <c r="D91" s="2" t="s">
        <v>151</v>
      </c>
      <c r="E91" s="2" t="s">
        <v>67</v>
      </c>
      <c r="F91" s="2"/>
      <c r="G91" s="2" t="s">
        <v>68</v>
      </c>
      <c r="H91" s="3" t="s">
        <v>751</v>
      </c>
      <c r="I91" s="3" t="s">
        <v>752</v>
      </c>
      <c r="J91" s="3" t="s">
        <v>752</v>
      </c>
      <c r="K91" s="3" t="s">
        <v>751</v>
      </c>
      <c r="L91" t="s">
        <v>1071</v>
      </c>
      <c r="M91" t="s">
        <v>1072</v>
      </c>
      <c r="N91" t="s">
        <v>1073</v>
      </c>
      <c r="O91" t="s">
        <v>1074</v>
      </c>
      <c r="P91" t="s">
        <v>1075</v>
      </c>
      <c r="Q91" t="s">
        <v>1076</v>
      </c>
      <c r="R91" t="s">
        <v>1077</v>
      </c>
      <c r="S91" t="s">
        <v>1078</v>
      </c>
      <c r="T91" t="s">
        <v>1079</v>
      </c>
      <c r="U91" t="s">
        <v>1080</v>
      </c>
      <c r="V91" t="s">
        <v>1081</v>
      </c>
      <c r="W91" t="s">
        <v>1082</v>
      </c>
      <c r="X91">
        <v>20240630</v>
      </c>
      <c r="Y91" t="s">
        <v>1083</v>
      </c>
      <c r="Z91" t="s">
        <v>1084</v>
      </c>
      <c r="AA91" s="11" t="str">
        <f t="shared" si="1"/>
        <v>EXEC [dbo].[BalanceGeneralInsertar] @Nivel ='Auxiliar',@Transaccional ='Sí',@CodigoCuentaContable ='13050502', @NombreCuentaContable ='Clientes nacionales Daxa',@Identificacion ='805020770',@Sucursal ='',@NombreTercero ='EUTOESTETICA SAS',@SaldoInicial = 10882962.3,@MovimientoDebito = 5441481.15,@MovimientoCredito =5441481.15,@SaldoFinal = 5441481.15,@Fecha ='20240630',@IdentificacionCliente = '901434038';</v>
      </c>
      <c r="AB91" t="s">
        <v>1085</v>
      </c>
    </row>
    <row r="92" spans="1:28" x14ac:dyDescent="0.25">
      <c r="A92" s="2" t="s">
        <v>28</v>
      </c>
      <c r="B92" s="2" t="s">
        <v>29</v>
      </c>
      <c r="C92" s="2" t="s">
        <v>150</v>
      </c>
      <c r="D92" s="2" t="s">
        <v>151</v>
      </c>
      <c r="E92" s="2" t="s">
        <v>71</v>
      </c>
      <c r="F92" s="2"/>
      <c r="G92" s="2" t="s">
        <v>72</v>
      </c>
      <c r="H92" s="3" t="s">
        <v>753</v>
      </c>
      <c r="I92" s="3" t="s">
        <v>754</v>
      </c>
      <c r="J92" s="3" t="s">
        <v>755</v>
      </c>
      <c r="K92" s="3" t="s">
        <v>756</v>
      </c>
      <c r="L92" t="s">
        <v>1071</v>
      </c>
      <c r="M92" t="s">
        <v>1072</v>
      </c>
      <c r="N92" t="s">
        <v>1073</v>
      </c>
      <c r="O92" t="s">
        <v>1074</v>
      </c>
      <c r="P92" t="s">
        <v>1075</v>
      </c>
      <c r="Q92" t="s">
        <v>1076</v>
      </c>
      <c r="R92" t="s">
        <v>1077</v>
      </c>
      <c r="S92" t="s">
        <v>1078</v>
      </c>
      <c r="T92" t="s">
        <v>1079</v>
      </c>
      <c r="U92" t="s">
        <v>1080</v>
      </c>
      <c r="V92" t="s">
        <v>1081</v>
      </c>
      <c r="W92" t="s">
        <v>1082</v>
      </c>
      <c r="X92">
        <v>20240630</v>
      </c>
      <c r="Y92" t="s">
        <v>1083</v>
      </c>
      <c r="Z92" t="s">
        <v>1084</v>
      </c>
      <c r="AA92" s="11" t="str">
        <f t="shared" si="1"/>
        <v>EXEC [dbo].[BalanceGeneralInsertar] @Nivel ='Auxiliar',@Transaccional ='Sí',@CodigoCuentaContable ='13050502', @NombreCuentaContable ='Clientes nacionales Daxa',@Identificacion ='901477526',@Sucursal ='',@NombreTercero ='SABANA MEDICAL SPA SAS',@SaldoInicial = 28158994.02,@MovimientoDebito = 12876747.9,@MovimientoCredito =15852550.39,@SaldoFinal = 15852550.39,@Fecha ='20240630',@IdentificacionCliente = '901434038';</v>
      </c>
      <c r="AB92" t="s">
        <v>1085</v>
      </c>
    </row>
    <row r="93" spans="1:28" x14ac:dyDescent="0.25">
      <c r="A93" s="2" t="s">
        <v>28</v>
      </c>
      <c r="B93" s="2" t="s">
        <v>29</v>
      </c>
      <c r="C93" s="2" t="s">
        <v>150</v>
      </c>
      <c r="D93" s="2" t="s">
        <v>151</v>
      </c>
      <c r="E93" s="2" t="s">
        <v>73</v>
      </c>
      <c r="F93" s="2"/>
      <c r="G93" s="2" t="s">
        <v>74</v>
      </c>
      <c r="H93" s="3" t="s">
        <v>757</v>
      </c>
      <c r="I93" s="3" t="s">
        <v>758</v>
      </c>
      <c r="J93" s="3">
        <v>0</v>
      </c>
      <c r="K93" s="3" t="s">
        <v>759</v>
      </c>
      <c r="L93" t="s">
        <v>1071</v>
      </c>
      <c r="M93" t="s">
        <v>1072</v>
      </c>
      <c r="N93" t="s">
        <v>1073</v>
      </c>
      <c r="O93" t="s">
        <v>1074</v>
      </c>
      <c r="P93" t="s">
        <v>1075</v>
      </c>
      <c r="Q93" t="s">
        <v>1076</v>
      </c>
      <c r="R93" t="s">
        <v>1077</v>
      </c>
      <c r="S93" t="s">
        <v>1078</v>
      </c>
      <c r="T93" t="s">
        <v>1079</v>
      </c>
      <c r="U93" t="s">
        <v>1080</v>
      </c>
      <c r="V93" t="s">
        <v>1081</v>
      </c>
      <c r="W93" t="s">
        <v>1082</v>
      </c>
      <c r="X93">
        <v>20240630</v>
      </c>
      <c r="Y93" t="s">
        <v>1083</v>
      </c>
      <c r="Z93" t="s">
        <v>1084</v>
      </c>
      <c r="AA93" s="11" t="str">
        <f t="shared" si="1"/>
        <v>EXEC [dbo].[BalanceGeneralInsertar] @Nivel ='Auxiliar',@Transaccional ='Sí',@CodigoCuentaContable ='13050502', @NombreCuentaContable ='Clientes nacionales Daxa',@Identificacion ='901020041',@Sucursal ='',@NombreTercero ='BENESSERE S.A.S',@SaldoInicial = 50127011.07,@MovimientoDebito = 22111335.01,@MovimientoCredito =0,@SaldoFinal = 0,@Fecha ='20240630',@IdentificacionCliente = '901434038';</v>
      </c>
      <c r="AB93" t="s">
        <v>1085</v>
      </c>
    </row>
    <row r="94" spans="1:28" x14ac:dyDescent="0.25">
      <c r="A94" s="2" t="s">
        <v>28</v>
      </c>
      <c r="B94" s="2" t="s">
        <v>29</v>
      </c>
      <c r="C94" s="2" t="s">
        <v>150</v>
      </c>
      <c r="D94" s="2" t="s">
        <v>151</v>
      </c>
      <c r="E94" s="2" t="s">
        <v>51</v>
      </c>
      <c r="F94" s="2"/>
      <c r="G94" s="2" t="s">
        <v>52</v>
      </c>
      <c r="H94" s="3" t="s">
        <v>760</v>
      </c>
      <c r="I94" s="3" t="s">
        <v>761</v>
      </c>
      <c r="J94" s="3" t="s">
        <v>761</v>
      </c>
      <c r="K94" s="3" t="s">
        <v>760</v>
      </c>
      <c r="L94" t="s">
        <v>1071</v>
      </c>
      <c r="M94" t="s">
        <v>1072</v>
      </c>
      <c r="N94" t="s">
        <v>1073</v>
      </c>
      <c r="O94" t="s">
        <v>1074</v>
      </c>
      <c r="P94" t="s">
        <v>1075</v>
      </c>
      <c r="Q94" t="s">
        <v>1076</v>
      </c>
      <c r="R94" t="s">
        <v>1077</v>
      </c>
      <c r="S94" t="s">
        <v>1078</v>
      </c>
      <c r="T94" t="s">
        <v>1079</v>
      </c>
      <c r="U94" t="s">
        <v>1080</v>
      </c>
      <c r="V94" t="s">
        <v>1081</v>
      </c>
      <c r="W94" t="s">
        <v>1082</v>
      </c>
      <c r="X94">
        <v>20240630</v>
      </c>
      <c r="Y94" t="s">
        <v>1083</v>
      </c>
      <c r="Z94" t="s">
        <v>1084</v>
      </c>
      <c r="AA94" s="11" t="str">
        <f t="shared" si="1"/>
        <v>EXEC [dbo].[BalanceGeneralInsertar] @Nivel ='Auxiliar',@Transaccional ='Sí',@CodigoCuentaContable ='13050502', @NombreCuentaContable ='Clientes nacionales Daxa',@Identificacion ='901733873',@Sucursal ='',@NombreTercero ='AV SALUD INTEGRAL SAS',@SaldoInicial = 16101.77,@MovimientoDebito = 6371440.77,@MovimientoCredito =6371440.77,@SaldoFinal = 6371440.77,@Fecha ='20240630',@IdentificacionCliente = '901434038';</v>
      </c>
      <c r="AB94" t="s">
        <v>1085</v>
      </c>
    </row>
    <row r="95" spans="1:28" x14ac:dyDescent="0.25">
      <c r="A95" s="2" t="s">
        <v>28</v>
      </c>
      <c r="B95" s="2" t="s">
        <v>29</v>
      </c>
      <c r="C95" s="2" t="s">
        <v>150</v>
      </c>
      <c r="D95" s="2" t="s">
        <v>151</v>
      </c>
      <c r="E95" s="2" t="s">
        <v>57</v>
      </c>
      <c r="F95" s="2"/>
      <c r="G95" s="2" t="s">
        <v>58</v>
      </c>
      <c r="H95" s="3" t="s">
        <v>762</v>
      </c>
      <c r="I95" s="3" t="s">
        <v>763</v>
      </c>
      <c r="J95" s="3">
        <v>0</v>
      </c>
      <c r="K95" s="3" t="s">
        <v>764</v>
      </c>
      <c r="L95" t="s">
        <v>1071</v>
      </c>
      <c r="M95" t="s">
        <v>1072</v>
      </c>
      <c r="N95" t="s">
        <v>1073</v>
      </c>
      <c r="O95" t="s">
        <v>1074</v>
      </c>
      <c r="P95" t="s">
        <v>1075</v>
      </c>
      <c r="Q95" t="s">
        <v>1076</v>
      </c>
      <c r="R95" t="s">
        <v>1077</v>
      </c>
      <c r="S95" t="s">
        <v>1078</v>
      </c>
      <c r="T95" t="s">
        <v>1079</v>
      </c>
      <c r="U95" t="s">
        <v>1080</v>
      </c>
      <c r="V95" t="s">
        <v>1081</v>
      </c>
      <c r="W95" t="s">
        <v>1082</v>
      </c>
      <c r="X95">
        <v>20240630</v>
      </c>
      <c r="Y95" t="s">
        <v>1083</v>
      </c>
      <c r="Z95" t="s">
        <v>1084</v>
      </c>
      <c r="AA95" s="11" t="str">
        <f t="shared" si="1"/>
        <v>EXEC [dbo].[BalanceGeneralInsertar] @Nivel ='Auxiliar',@Transaccional ='Sí',@CodigoCuentaContable ='13050502', @NombreCuentaContable ='Clientes nacionales Daxa',@Identificacion ='901745690',@Sucursal ='',@NombreTercero ='JOHANNA DAZA MEDICINA ANTIENVEJECIMIENTO S.A.S.',@SaldoInicial = 22495545.3,@MovimientoDebito = 11247772.65,@MovimientoCredito =0,@SaldoFinal = 0,@Fecha ='20240630',@IdentificacionCliente = '901434038';</v>
      </c>
      <c r="AB95" t="s">
        <v>1085</v>
      </c>
    </row>
    <row r="96" spans="1:28" x14ac:dyDescent="0.25">
      <c r="A96" s="2" t="s">
        <v>22</v>
      </c>
      <c r="B96" s="2" t="s">
        <v>16</v>
      </c>
      <c r="C96" s="2" t="s">
        <v>152</v>
      </c>
      <c r="D96" s="2" t="s">
        <v>153</v>
      </c>
      <c r="E96" s="2"/>
      <c r="F96" s="2"/>
      <c r="G96" s="2"/>
      <c r="H96" s="3" t="s">
        <v>765</v>
      </c>
      <c r="I96" s="3">
        <v>0</v>
      </c>
      <c r="J96" s="3">
        <v>0</v>
      </c>
      <c r="K96" s="3" t="s">
        <v>765</v>
      </c>
      <c r="L96" t="s">
        <v>1071</v>
      </c>
      <c r="M96" t="s">
        <v>1072</v>
      </c>
      <c r="N96" t="s">
        <v>1073</v>
      </c>
      <c r="O96" t="s">
        <v>1074</v>
      </c>
      <c r="P96" t="s">
        <v>1075</v>
      </c>
      <c r="Q96" t="s">
        <v>1076</v>
      </c>
      <c r="R96" t="s">
        <v>1077</v>
      </c>
      <c r="S96" t="s">
        <v>1078</v>
      </c>
      <c r="T96" t="s">
        <v>1079</v>
      </c>
      <c r="U96" t="s">
        <v>1080</v>
      </c>
      <c r="V96" t="s">
        <v>1081</v>
      </c>
      <c r="W96" t="s">
        <v>1082</v>
      </c>
      <c r="X96">
        <v>20240630</v>
      </c>
      <c r="Y96" t="s">
        <v>1083</v>
      </c>
      <c r="Z96" t="s">
        <v>1084</v>
      </c>
      <c r="AA96" s="11" t="str">
        <f t="shared" si="1"/>
        <v>EXEC [dbo].[BalanceGeneralInsertar] @Nivel ='Cuenta',@Transaccional ='No',@CodigoCuentaContable ='1325', @NombreCuentaContable ='Cuentas por cobrar a socios y accionistas',@Identificacion ='',@Sucursal ='',@NombreTercero ='',@SaldoInicial = 348233.5,@MovimientoDebito = 0,@MovimientoCredito =0,@SaldoFinal = 0,@Fecha ='20240630',@IdentificacionCliente = '901434038';</v>
      </c>
      <c r="AB96" t="s">
        <v>1085</v>
      </c>
    </row>
    <row r="97" spans="1:28" x14ac:dyDescent="0.25">
      <c r="A97" s="2" t="s">
        <v>25</v>
      </c>
      <c r="B97" s="2" t="s">
        <v>16</v>
      </c>
      <c r="C97" s="2" t="s">
        <v>154</v>
      </c>
      <c r="D97" s="2" t="s">
        <v>155</v>
      </c>
      <c r="E97" s="2"/>
      <c r="F97" s="2"/>
      <c r="G97" s="2"/>
      <c r="H97" s="3" t="s">
        <v>765</v>
      </c>
      <c r="I97" s="3">
        <v>0</v>
      </c>
      <c r="J97" s="3">
        <v>0</v>
      </c>
      <c r="K97" s="3" t="s">
        <v>765</v>
      </c>
      <c r="L97" t="s">
        <v>1071</v>
      </c>
      <c r="M97" t="s">
        <v>1072</v>
      </c>
      <c r="N97" t="s">
        <v>1073</v>
      </c>
      <c r="O97" t="s">
        <v>1074</v>
      </c>
      <c r="P97" t="s">
        <v>1075</v>
      </c>
      <c r="Q97" t="s">
        <v>1076</v>
      </c>
      <c r="R97" t="s">
        <v>1077</v>
      </c>
      <c r="S97" t="s">
        <v>1078</v>
      </c>
      <c r="T97" t="s">
        <v>1079</v>
      </c>
      <c r="U97" t="s">
        <v>1080</v>
      </c>
      <c r="V97" t="s">
        <v>1081</v>
      </c>
      <c r="W97" t="s">
        <v>1082</v>
      </c>
      <c r="X97">
        <v>20240630</v>
      </c>
      <c r="Y97" t="s">
        <v>1083</v>
      </c>
      <c r="Z97" t="s">
        <v>1084</v>
      </c>
      <c r="AA97" s="11" t="str">
        <f t="shared" si="1"/>
        <v>EXEC [dbo].[BalanceGeneralInsertar] @Nivel ='Subcuenta',@Transaccional ='No',@CodigoCuentaContable ='132510', @NombreCuentaContable ='A accionistas',@Identificacion ='',@Sucursal ='',@NombreTercero ='',@SaldoInicial = 348233.5,@MovimientoDebito = 0,@MovimientoCredito =0,@SaldoFinal = 0,@Fecha ='20240630',@IdentificacionCliente = '901434038';</v>
      </c>
      <c r="AB97" t="s">
        <v>1085</v>
      </c>
    </row>
    <row r="98" spans="1:28" x14ac:dyDescent="0.25">
      <c r="A98" s="2" t="s">
        <v>28</v>
      </c>
      <c r="B98" s="2" t="s">
        <v>29</v>
      </c>
      <c r="C98" s="2" t="s">
        <v>156</v>
      </c>
      <c r="D98" s="2" t="s">
        <v>155</v>
      </c>
      <c r="E98" s="2" t="s">
        <v>119</v>
      </c>
      <c r="F98" s="2"/>
      <c r="G98" s="2" t="s">
        <v>120</v>
      </c>
      <c r="H98" s="3" t="s">
        <v>765</v>
      </c>
      <c r="I98" s="3">
        <v>0</v>
      </c>
      <c r="J98" s="3">
        <v>0</v>
      </c>
      <c r="K98" s="3" t="s">
        <v>765</v>
      </c>
      <c r="L98" t="s">
        <v>1071</v>
      </c>
      <c r="M98" t="s">
        <v>1072</v>
      </c>
      <c r="N98" t="s">
        <v>1073</v>
      </c>
      <c r="O98" t="s">
        <v>1074</v>
      </c>
      <c r="P98" t="s">
        <v>1075</v>
      </c>
      <c r="Q98" t="s">
        <v>1076</v>
      </c>
      <c r="R98" t="s">
        <v>1077</v>
      </c>
      <c r="S98" t="s">
        <v>1078</v>
      </c>
      <c r="T98" t="s">
        <v>1079</v>
      </c>
      <c r="U98" t="s">
        <v>1080</v>
      </c>
      <c r="V98" t="s">
        <v>1081</v>
      </c>
      <c r="W98" t="s">
        <v>1082</v>
      </c>
      <c r="X98">
        <v>20240630</v>
      </c>
      <c r="Y98" t="s">
        <v>1083</v>
      </c>
      <c r="Z98" t="s">
        <v>1084</v>
      </c>
      <c r="AA98" s="11" t="str">
        <f t="shared" si="1"/>
        <v>EXEC [dbo].[BalanceGeneralInsertar] @Nivel ='Auxiliar',@Transaccional ='Sí',@CodigoCuentaContable ='13251001', @NombreCuentaContable ='A accionistas',@Identificacion ='80196373',@Sucursal ='',@NombreTercero ='JUAN FERNANDO DURAN LOPEZ',@SaldoInicial = 348233.5,@MovimientoDebito = 0,@MovimientoCredito =0,@SaldoFinal = 0,@Fecha ='20240630',@IdentificacionCliente = '901434038';</v>
      </c>
      <c r="AB98" t="s">
        <v>1085</v>
      </c>
    </row>
    <row r="99" spans="1:28" x14ac:dyDescent="0.25">
      <c r="A99" s="2" t="s">
        <v>22</v>
      </c>
      <c r="B99" s="2" t="s">
        <v>16</v>
      </c>
      <c r="C99" s="2" t="s">
        <v>157</v>
      </c>
      <c r="D99" s="2" t="s">
        <v>158</v>
      </c>
      <c r="E99" s="2"/>
      <c r="F99" s="2"/>
      <c r="G99" s="2"/>
      <c r="H99" s="3">
        <v>28852185</v>
      </c>
      <c r="I99" s="3">
        <v>0</v>
      </c>
      <c r="J99" s="3">
        <v>500000</v>
      </c>
      <c r="K99" s="3">
        <v>28352185</v>
      </c>
      <c r="L99" t="s">
        <v>1071</v>
      </c>
      <c r="M99" t="s">
        <v>1072</v>
      </c>
      <c r="N99" t="s">
        <v>1073</v>
      </c>
      <c r="O99" t="s">
        <v>1074</v>
      </c>
      <c r="P99" t="s">
        <v>1075</v>
      </c>
      <c r="Q99" t="s">
        <v>1076</v>
      </c>
      <c r="R99" t="s">
        <v>1077</v>
      </c>
      <c r="S99" t="s">
        <v>1078</v>
      </c>
      <c r="T99" t="s">
        <v>1079</v>
      </c>
      <c r="U99" t="s">
        <v>1080</v>
      </c>
      <c r="V99" t="s">
        <v>1081</v>
      </c>
      <c r="W99" t="s">
        <v>1082</v>
      </c>
      <c r="X99">
        <v>20240630</v>
      </c>
      <c r="Y99" t="s">
        <v>1083</v>
      </c>
      <c r="Z99" t="s">
        <v>1084</v>
      </c>
      <c r="AA99" s="11" t="str">
        <f t="shared" si="1"/>
        <v>EXEC [dbo].[BalanceGeneralInsertar] @Nivel ='Cuenta',@Transaccional ='No',@CodigoCuentaContable ='1330', @NombreCuentaContable ='Anticipos y avances',@Identificacion ='',@Sucursal ='',@NombreTercero ='',@SaldoInicial = 28852185,@MovimientoDebito = 0,@MovimientoCredito =500000,@SaldoFinal = 500000,@Fecha ='20240630',@IdentificacionCliente = '901434038';</v>
      </c>
      <c r="AB99" t="s">
        <v>1085</v>
      </c>
    </row>
    <row r="100" spans="1:28" x14ac:dyDescent="0.25">
      <c r="A100" s="2" t="s">
        <v>25</v>
      </c>
      <c r="B100" s="2" t="s">
        <v>16</v>
      </c>
      <c r="C100" s="2" t="s">
        <v>159</v>
      </c>
      <c r="D100" s="2" t="s">
        <v>160</v>
      </c>
      <c r="E100" s="2"/>
      <c r="F100" s="2"/>
      <c r="G100" s="2"/>
      <c r="H100" s="3">
        <v>28852185</v>
      </c>
      <c r="I100" s="3">
        <v>0</v>
      </c>
      <c r="J100" s="3">
        <v>500000</v>
      </c>
      <c r="K100" s="3">
        <v>28352185</v>
      </c>
      <c r="L100" t="s">
        <v>1071</v>
      </c>
      <c r="M100" t="s">
        <v>1072</v>
      </c>
      <c r="N100" t="s">
        <v>1073</v>
      </c>
      <c r="O100" t="s">
        <v>1074</v>
      </c>
      <c r="P100" t="s">
        <v>1075</v>
      </c>
      <c r="Q100" t="s">
        <v>1076</v>
      </c>
      <c r="R100" t="s">
        <v>1077</v>
      </c>
      <c r="S100" t="s">
        <v>1078</v>
      </c>
      <c r="T100" t="s">
        <v>1079</v>
      </c>
      <c r="U100" t="s">
        <v>1080</v>
      </c>
      <c r="V100" t="s">
        <v>1081</v>
      </c>
      <c r="W100" t="s">
        <v>1082</v>
      </c>
      <c r="X100">
        <v>20240630</v>
      </c>
      <c r="Y100" t="s">
        <v>1083</v>
      </c>
      <c r="Z100" t="s">
        <v>1084</v>
      </c>
      <c r="AA100" s="11" t="str">
        <f t="shared" si="1"/>
        <v>EXEC [dbo].[BalanceGeneralInsertar] @Nivel ='Subcuenta',@Transaccional ='No',@CodigoCuentaContable ='133005', @NombreCuentaContable ='A proveedores',@Identificacion ='',@Sucursal ='',@NombreTercero ='',@SaldoInicial = 28852185,@MovimientoDebito = 0,@MovimientoCredito =500000,@SaldoFinal = 500000,@Fecha ='20240630',@IdentificacionCliente = '901434038';</v>
      </c>
      <c r="AB100" t="s">
        <v>1085</v>
      </c>
    </row>
    <row r="101" spans="1:28" x14ac:dyDescent="0.25">
      <c r="A101" s="2" t="s">
        <v>28</v>
      </c>
      <c r="B101" s="2" t="s">
        <v>29</v>
      </c>
      <c r="C101" s="2" t="s">
        <v>161</v>
      </c>
      <c r="D101" s="2" t="s">
        <v>160</v>
      </c>
      <c r="E101" s="2" t="s">
        <v>119</v>
      </c>
      <c r="F101" s="2"/>
      <c r="G101" s="2" t="s">
        <v>120</v>
      </c>
      <c r="H101" s="3">
        <v>25517925</v>
      </c>
      <c r="I101" s="3">
        <v>0</v>
      </c>
      <c r="J101" s="3">
        <v>0</v>
      </c>
      <c r="K101" s="3">
        <v>25517925</v>
      </c>
      <c r="L101" t="s">
        <v>1071</v>
      </c>
      <c r="M101" t="s">
        <v>1072</v>
      </c>
      <c r="N101" t="s">
        <v>1073</v>
      </c>
      <c r="O101" t="s">
        <v>1074</v>
      </c>
      <c r="P101" t="s">
        <v>1075</v>
      </c>
      <c r="Q101" t="s">
        <v>1076</v>
      </c>
      <c r="R101" t="s">
        <v>1077</v>
      </c>
      <c r="S101" t="s">
        <v>1078</v>
      </c>
      <c r="T101" t="s">
        <v>1079</v>
      </c>
      <c r="U101" t="s">
        <v>1080</v>
      </c>
      <c r="V101" t="s">
        <v>1081</v>
      </c>
      <c r="W101" t="s">
        <v>1082</v>
      </c>
      <c r="X101">
        <v>20240630</v>
      </c>
      <c r="Y101" t="s">
        <v>1083</v>
      </c>
      <c r="Z101" t="s">
        <v>1084</v>
      </c>
      <c r="AA101" s="11" t="str">
        <f t="shared" si="1"/>
        <v>EXEC [dbo].[BalanceGeneralInsertar] @Nivel ='Auxiliar',@Transaccional ='Sí',@CodigoCuentaContable ='13300501', @NombreCuentaContable ='A proveedores',@Identificacion ='80196373',@Sucursal ='',@NombreTercero ='JUAN FERNANDO DURAN LOPEZ',@SaldoInicial = 25517925,@MovimientoDebito = 0,@MovimientoCredito =0,@SaldoFinal = 0,@Fecha ='20240630',@IdentificacionCliente = '901434038';</v>
      </c>
      <c r="AB101" t="s">
        <v>1085</v>
      </c>
    </row>
    <row r="102" spans="1:28" x14ac:dyDescent="0.25">
      <c r="A102" s="2" t="s">
        <v>28</v>
      </c>
      <c r="B102" s="2" t="s">
        <v>29</v>
      </c>
      <c r="C102" s="2" t="s">
        <v>161</v>
      </c>
      <c r="D102" s="2" t="s">
        <v>160</v>
      </c>
      <c r="E102" s="2" t="s">
        <v>121</v>
      </c>
      <c r="F102" s="2"/>
      <c r="G102" s="2" t="s">
        <v>122</v>
      </c>
      <c r="H102" s="3">
        <v>2834260</v>
      </c>
      <c r="I102" s="3">
        <v>0</v>
      </c>
      <c r="J102" s="3">
        <v>0</v>
      </c>
      <c r="K102" s="3">
        <v>2834260</v>
      </c>
      <c r="L102" t="s">
        <v>1071</v>
      </c>
      <c r="M102" t="s">
        <v>1072</v>
      </c>
      <c r="N102" t="s">
        <v>1073</v>
      </c>
      <c r="O102" t="s">
        <v>1074</v>
      </c>
      <c r="P102" t="s">
        <v>1075</v>
      </c>
      <c r="Q102" t="s">
        <v>1076</v>
      </c>
      <c r="R102" t="s">
        <v>1077</v>
      </c>
      <c r="S102" t="s">
        <v>1078</v>
      </c>
      <c r="T102" t="s">
        <v>1079</v>
      </c>
      <c r="U102" t="s">
        <v>1080</v>
      </c>
      <c r="V102" t="s">
        <v>1081</v>
      </c>
      <c r="W102" t="s">
        <v>1082</v>
      </c>
      <c r="X102">
        <v>20240630</v>
      </c>
      <c r="Y102" t="s">
        <v>1083</v>
      </c>
      <c r="Z102" t="s">
        <v>1084</v>
      </c>
      <c r="AA102" s="11" t="str">
        <f t="shared" si="1"/>
        <v>EXEC [dbo].[BalanceGeneralInsertar] @Nivel ='Auxiliar',@Transaccional ='Sí',@CodigoCuentaContable ='13300501', @NombreCuentaContable ='A proveedores',@Identificacion ='92555120',@Sucursal ='',@NombreTercero ='JOSE OMAR VELILLA',@SaldoInicial = 2834260,@MovimientoDebito = 0,@MovimientoCredito =0,@SaldoFinal = 0,@Fecha ='20240630',@IdentificacionCliente = '901434038';</v>
      </c>
      <c r="AB102" t="s">
        <v>1085</v>
      </c>
    </row>
    <row r="103" spans="1:28" x14ac:dyDescent="0.25">
      <c r="A103" s="2" t="s">
        <v>28</v>
      </c>
      <c r="B103" s="2" t="s">
        <v>29</v>
      </c>
      <c r="C103" s="2" t="s">
        <v>161</v>
      </c>
      <c r="D103" s="2" t="s">
        <v>160</v>
      </c>
      <c r="E103" s="2" t="s">
        <v>99</v>
      </c>
      <c r="F103" s="2"/>
      <c r="G103" s="2" t="s">
        <v>100</v>
      </c>
      <c r="H103" s="3">
        <v>500000</v>
      </c>
      <c r="I103" s="3">
        <v>0</v>
      </c>
      <c r="J103" s="3">
        <v>500000</v>
      </c>
      <c r="K103" s="3">
        <v>0</v>
      </c>
      <c r="L103" t="s">
        <v>1071</v>
      </c>
      <c r="M103" t="s">
        <v>1072</v>
      </c>
      <c r="N103" t="s">
        <v>1073</v>
      </c>
      <c r="O103" t="s">
        <v>1074</v>
      </c>
      <c r="P103" t="s">
        <v>1075</v>
      </c>
      <c r="Q103" t="s">
        <v>1076</v>
      </c>
      <c r="R103" t="s">
        <v>1077</v>
      </c>
      <c r="S103" t="s">
        <v>1078</v>
      </c>
      <c r="T103" t="s">
        <v>1079</v>
      </c>
      <c r="U103" t="s">
        <v>1080</v>
      </c>
      <c r="V103" t="s">
        <v>1081</v>
      </c>
      <c r="W103" t="s">
        <v>1082</v>
      </c>
      <c r="X103">
        <v>20240630</v>
      </c>
      <c r="Y103" t="s">
        <v>1083</v>
      </c>
      <c r="Z103" t="s">
        <v>1084</v>
      </c>
      <c r="AA103" s="11" t="str">
        <f t="shared" si="1"/>
        <v>EXEC [dbo].[BalanceGeneralInsertar] @Nivel ='Auxiliar',@Transaccional ='Sí',@CodigoCuentaContable ='13300501', @NombreCuentaContable ='A proveedores',@Identificacion ='900397663',@Sucursal ='',@NombreTercero ='BTL COLOMBIA SAS',@SaldoInicial = 500000,@MovimientoDebito = 0,@MovimientoCredito =500000,@SaldoFinal = 500000,@Fecha ='20240630',@IdentificacionCliente = '901434038';</v>
      </c>
      <c r="AB103" t="s">
        <v>1085</v>
      </c>
    </row>
    <row r="104" spans="1:28" x14ac:dyDescent="0.25">
      <c r="A104" s="2" t="s">
        <v>22</v>
      </c>
      <c r="B104" s="2" t="s">
        <v>16</v>
      </c>
      <c r="C104" s="2" t="s">
        <v>162</v>
      </c>
      <c r="D104" s="2" t="s">
        <v>163</v>
      </c>
      <c r="E104" s="2"/>
      <c r="F104" s="2"/>
      <c r="G104" s="2"/>
      <c r="H104" s="3" t="s">
        <v>766</v>
      </c>
      <c r="I104" s="3" t="s">
        <v>767</v>
      </c>
      <c r="J104" s="3">
        <v>30643000</v>
      </c>
      <c r="K104" s="3" t="s">
        <v>768</v>
      </c>
      <c r="L104" t="s">
        <v>1071</v>
      </c>
      <c r="M104" t="s">
        <v>1072</v>
      </c>
      <c r="N104" t="s">
        <v>1073</v>
      </c>
      <c r="O104" t="s">
        <v>1074</v>
      </c>
      <c r="P104" t="s">
        <v>1075</v>
      </c>
      <c r="Q104" t="s">
        <v>1076</v>
      </c>
      <c r="R104" t="s">
        <v>1077</v>
      </c>
      <c r="S104" t="s">
        <v>1078</v>
      </c>
      <c r="T104" t="s">
        <v>1079</v>
      </c>
      <c r="U104" t="s">
        <v>1080</v>
      </c>
      <c r="V104" t="s">
        <v>1081</v>
      </c>
      <c r="W104" t="s">
        <v>1082</v>
      </c>
      <c r="X104">
        <v>20240630</v>
      </c>
      <c r="Y104" t="s">
        <v>1083</v>
      </c>
      <c r="Z104" t="s">
        <v>1084</v>
      </c>
      <c r="AA104" s="11" t="str">
        <f t="shared" si="1"/>
        <v>EXEC [dbo].[BalanceGeneralInsertar] @Nivel ='Cuenta',@Transaccional ='No',@CodigoCuentaContable ='1355', @NombreCuentaContable ='Anticipo de impuestos y contribuciones o',@Identificacion ='',@Sucursal ='',@NombreTercero ='',@SaldoInicial = 37514605.66,@MovimientoDebito = 2512895.32,@MovimientoCredito =30643000,@SaldoFinal = 30643000,@Fecha ='20240630',@IdentificacionCliente = '901434038';</v>
      </c>
      <c r="AB104" t="s">
        <v>1085</v>
      </c>
    </row>
    <row r="105" spans="1:28" x14ac:dyDescent="0.25">
      <c r="A105" s="2" t="s">
        <v>25</v>
      </c>
      <c r="B105" s="2" t="s">
        <v>16</v>
      </c>
      <c r="C105" s="2" t="s">
        <v>164</v>
      </c>
      <c r="D105" s="2" t="s">
        <v>165</v>
      </c>
      <c r="E105" s="2"/>
      <c r="F105" s="2"/>
      <c r="G105" s="2"/>
      <c r="H105" s="3" t="s">
        <v>769</v>
      </c>
      <c r="I105" s="3">
        <v>0</v>
      </c>
      <c r="J105" s="3">
        <v>0</v>
      </c>
      <c r="K105" s="3" t="s">
        <v>769</v>
      </c>
      <c r="L105" t="s">
        <v>1071</v>
      </c>
      <c r="M105" t="s">
        <v>1072</v>
      </c>
      <c r="N105" t="s">
        <v>1073</v>
      </c>
      <c r="O105" t="s">
        <v>1074</v>
      </c>
      <c r="P105" t="s">
        <v>1075</v>
      </c>
      <c r="Q105" t="s">
        <v>1076</v>
      </c>
      <c r="R105" t="s">
        <v>1077</v>
      </c>
      <c r="S105" t="s">
        <v>1078</v>
      </c>
      <c r="T105" t="s">
        <v>1079</v>
      </c>
      <c r="U105" t="s">
        <v>1080</v>
      </c>
      <c r="V105" t="s">
        <v>1081</v>
      </c>
      <c r="W105" t="s">
        <v>1082</v>
      </c>
      <c r="X105">
        <v>20240630</v>
      </c>
      <c r="Y105" t="s">
        <v>1083</v>
      </c>
      <c r="Z105" t="s">
        <v>1084</v>
      </c>
      <c r="AA105" s="11" t="str">
        <f t="shared" si="1"/>
        <v>EXEC [dbo].[BalanceGeneralInsertar] @Nivel ='Subcuenta',@Transaccional ='No',@CodigoCuentaContable ='135515', @NombreCuentaContable ='Anticipo Retención en la fuente',@Identificacion ='',@Sucursal ='',@NombreTercero ='',@SaldoInicial = 226459.91,@MovimientoDebito = 0,@MovimientoCredito =0,@SaldoFinal = 0,@Fecha ='20240630',@IdentificacionCliente = '901434038';</v>
      </c>
      <c r="AB105" t="s">
        <v>1085</v>
      </c>
    </row>
    <row r="106" spans="1:28" x14ac:dyDescent="0.25">
      <c r="A106" s="2" t="s">
        <v>28</v>
      </c>
      <c r="B106" s="2" t="s">
        <v>29</v>
      </c>
      <c r="C106" s="2" t="s">
        <v>166</v>
      </c>
      <c r="D106" s="2" t="s">
        <v>167</v>
      </c>
      <c r="E106" s="2" t="s">
        <v>39</v>
      </c>
      <c r="F106" s="2"/>
      <c r="G106" s="2" t="s">
        <v>40</v>
      </c>
      <c r="H106" s="3" t="s">
        <v>770</v>
      </c>
      <c r="I106" s="3">
        <v>0</v>
      </c>
      <c r="J106" s="3">
        <v>0</v>
      </c>
      <c r="K106" s="3" t="s">
        <v>770</v>
      </c>
      <c r="L106" t="s">
        <v>1071</v>
      </c>
      <c r="M106" t="s">
        <v>1072</v>
      </c>
      <c r="N106" t="s">
        <v>1073</v>
      </c>
      <c r="O106" t="s">
        <v>1074</v>
      </c>
      <c r="P106" t="s">
        <v>1075</v>
      </c>
      <c r="Q106" t="s">
        <v>1076</v>
      </c>
      <c r="R106" t="s">
        <v>1077</v>
      </c>
      <c r="S106" t="s">
        <v>1078</v>
      </c>
      <c r="T106" t="s">
        <v>1079</v>
      </c>
      <c r="U106" t="s">
        <v>1080</v>
      </c>
      <c r="V106" t="s">
        <v>1081</v>
      </c>
      <c r="W106" t="s">
        <v>1082</v>
      </c>
      <c r="X106">
        <v>20240630</v>
      </c>
      <c r="Y106" t="s">
        <v>1083</v>
      </c>
      <c r="Z106" t="s">
        <v>1084</v>
      </c>
      <c r="AA106" s="11" t="str">
        <f t="shared" si="1"/>
        <v>EXEC [dbo].[BalanceGeneralInsertar] @Nivel ='Auxiliar',@Transaccional ='Sí',@CodigoCuentaContable ='13551501', @NombreCuentaContable ='Anticipo Retención en la fuente 2,5%',@Identificacion ='800197268',@Sucursal ='',@NombreTercero ='DIAN',@SaldoInicial = -799993.9,@MovimientoDebito = 0,@MovimientoCredito =0,@SaldoFinal = 0,@Fecha ='20240630',@IdentificacionCliente = '901434038';</v>
      </c>
      <c r="AB106" t="s">
        <v>1085</v>
      </c>
    </row>
    <row r="107" spans="1:28" x14ac:dyDescent="0.25">
      <c r="A107" s="2" t="s">
        <v>28</v>
      </c>
      <c r="B107" s="2" t="s">
        <v>29</v>
      </c>
      <c r="C107" s="2" t="s">
        <v>166</v>
      </c>
      <c r="D107" s="2" t="s">
        <v>167</v>
      </c>
      <c r="E107" s="2" t="s">
        <v>103</v>
      </c>
      <c r="F107" s="2"/>
      <c r="G107" s="2" t="s">
        <v>104</v>
      </c>
      <c r="H107" s="3">
        <v>110125</v>
      </c>
      <c r="I107" s="3">
        <v>0</v>
      </c>
      <c r="J107" s="3">
        <v>0</v>
      </c>
      <c r="K107" s="3">
        <v>110125</v>
      </c>
      <c r="L107" t="s">
        <v>1071</v>
      </c>
      <c r="M107" t="s">
        <v>1072</v>
      </c>
      <c r="N107" t="s">
        <v>1073</v>
      </c>
      <c r="O107" t="s">
        <v>1074</v>
      </c>
      <c r="P107" t="s">
        <v>1075</v>
      </c>
      <c r="Q107" t="s">
        <v>1076</v>
      </c>
      <c r="R107" t="s">
        <v>1077</v>
      </c>
      <c r="S107" t="s">
        <v>1078</v>
      </c>
      <c r="T107" t="s">
        <v>1079</v>
      </c>
      <c r="U107" t="s">
        <v>1080</v>
      </c>
      <c r="V107" t="s">
        <v>1081</v>
      </c>
      <c r="W107" t="s">
        <v>1082</v>
      </c>
      <c r="X107">
        <v>20240630</v>
      </c>
      <c r="Y107" t="s">
        <v>1083</v>
      </c>
      <c r="Z107" t="s">
        <v>1084</v>
      </c>
      <c r="AA107" s="11" t="str">
        <f t="shared" si="1"/>
        <v>EXEC [dbo].[BalanceGeneralInsertar] @Nivel ='Auxiliar',@Transaccional ='Sí',@CodigoCuentaContable ='13551501', @NombreCuentaContable ='Anticipo Retención en la fuente 2,5%',@Identificacion ='900297847',@Sucursal ='',@NombreTercero ='CENTRO CONTRA EFECTOS DE LA EDAD S.A.S',@SaldoInicial = 110125,@MovimientoDebito = 0,@MovimientoCredito =0,@SaldoFinal = 0,@Fecha ='20240630',@IdentificacionCliente = '901434038';</v>
      </c>
      <c r="AB107" t="s">
        <v>1085</v>
      </c>
    </row>
    <row r="108" spans="1:28" x14ac:dyDescent="0.25">
      <c r="A108" s="2" t="s">
        <v>28</v>
      </c>
      <c r="B108" s="2" t="s">
        <v>29</v>
      </c>
      <c r="C108" s="2" t="s">
        <v>166</v>
      </c>
      <c r="D108" s="2" t="s">
        <v>167</v>
      </c>
      <c r="E108" s="2" t="s">
        <v>105</v>
      </c>
      <c r="F108" s="2"/>
      <c r="G108" s="2" t="s">
        <v>106</v>
      </c>
      <c r="H108" s="3" t="s">
        <v>771</v>
      </c>
      <c r="I108" s="3">
        <v>0</v>
      </c>
      <c r="J108" s="3">
        <v>0</v>
      </c>
      <c r="K108" s="3" t="s">
        <v>771</v>
      </c>
      <c r="L108" t="s">
        <v>1071</v>
      </c>
      <c r="M108" t="s">
        <v>1072</v>
      </c>
      <c r="N108" t="s">
        <v>1073</v>
      </c>
      <c r="O108" t="s">
        <v>1074</v>
      </c>
      <c r="P108" t="s">
        <v>1075</v>
      </c>
      <c r="Q108" t="s">
        <v>1076</v>
      </c>
      <c r="R108" t="s">
        <v>1077</v>
      </c>
      <c r="S108" t="s">
        <v>1078</v>
      </c>
      <c r="T108" t="s">
        <v>1079</v>
      </c>
      <c r="U108" t="s">
        <v>1080</v>
      </c>
      <c r="V108" t="s">
        <v>1081</v>
      </c>
      <c r="W108" t="s">
        <v>1082</v>
      </c>
      <c r="X108">
        <v>20240630</v>
      </c>
      <c r="Y108" t="s">
        <v>1083</v>
      </c>
      <c r="Z108" t="s">
        <v>1084</v>
      </c>
      <c r="AA108" s="11" t="str">
        <f t="shared" si="1"/>
        <v>EXEC [dbo].[BalanceGeneralInsertar] @Nivel ='Auxiliar',@Transaccional ='Sí',@CodigoCuentaContable ='13551501', @NombreCuentaContable ='Anticipo Retención en la fuente 2,5%',@Identificacion ='901000155',@Sucursal ='',@NombreTercero ='DELUXE BY CRISTINA JARAMILLO S.A.S',@SaldoInicial = 47979.25,@MovimientoDebito = 0,@MovimientoCredito =0,@SaldoFinal = 0,@Fecha ='20240630',@IdentificacionCliente = '901434038';</v>
      </c>
      <c r="AB108" t="s">
        <v>1085</v>
      </c>
    </row>
    <row r="109" spans="1:28" x14ac:dyDescent="0.25">
      <c r="A109" s="2" t="s">
        <v>28</v>
      </c>
      <c r="B109" s="2" t="s">
        <v>29</v>
      </c>
      <c r="C109" s="2" t="s">
        <v>166</v>
      </c>
      <c r="D109" s="2" t="s">
        <v>167</v>
      </c>
      <c r="E109" s="2" t="s">
        <v>107</v>
      </c>
      <c r="F109" s="2"/>
      <c r="G109" s="2" t="s">
        <v>108</v>
      </c>
      <c r="H109" s="3" t="s">
        <v>772</v>
      </c>
      <c r="I109" s="3">
        <v>0</v>
      </c>
      <c r="J109" s="3">
        <v>0</v>
      </c>
      <c r="K109" s="3" t="s">
        <v>772</v>
      </c>
      <c r="L109" t="s">
        <v>1071</v>
      </c>
      <c r="M109" t="s">
        <v>1072</v>
      </c>
      <c r="N109" t="s">
        <v>1073</v>
      </c>
      <c r="O109" t="s">
        <v>1074</v>
      </c>
      <c r="P109" t="s">
        <v>1075</v>
      </c>
      <c r="Q109" t="s">
        <v>1076</v>
      </c>
      <c r="R109" t="s">
        <v>1077</v>
      </c>
      <c r="S109" t="s">
        <v>1078</v>
      </c>
      <c r="T109" t="s">
        <v>1079</v>
      </c>
      <c r="U109" t="s">
        <v>1080</v>
      </c>
      <c r="V109" t="s">
        <v>1081</v>
      </c>
      <c r="W109" t="s">
        <v>1082</v>
      </c>
      <c r="X109">
        <v>20240630</v>
      </c>
      <c r="Y109" t="s">
        <v>1083</v>
      </c>
      <c r="Z109" t="s">
        <v>1084</v>
      </c>
      <c r="AA109" s="11" t="str">
        <f t="shared" si="1"/>
        <v>EXEC [dbo].[BalanceGeneralInsertar] @Nivel ='Auxiliar',@Transaccional ='Sí',@CodigoCuentaContable ='13551501', @NombreCuentaContable ='Anticipo Retención en la fuente 2,5%',@Identificacion ='860531315',@Sucursal ='',@NombreTercero ='ALIANZA FIDUCIARIA S.A.',@SaldoInicial = 81771.89,@MovimientoDebito = 0,@MovimientoCredito =0,@SaldoFinal = 0,@Fecha ='20240630',@IdentificacionCliente = '901434038';</v>
      </c>
      <c r="AB109" t="s">
        <v>1085</v>
      </c>
    </row>
    <row r="110" spans="1:28" x14ac:dyDescent="0.25">
      <c r="A110" s="2" t="s">
        <v>28</v>
      </c>
      <c r="B110" s="2" t="s">
        <v>29</v>
      </c>
      <c r="C110" s="2" t="s">
        <v>166</v>
      </c>
      <c r="D110" s="2" t="s">
        <v>167</v>
      </c>
      <c r="E110" s="2" t="s">
        <v>89</v>
      </c>
      <c r="F110" s="2"/>
      <c r="G110" s="2" t="s">
        <v>90</v>
      </c>
      <c r="H110" s="3">
        <v>175000</v>
      </c>
      <c r="I110" s="3">
        <v>0</v>
      </c>
      <c r="J110" s="3">
        <v>0</v>
      </c>
      <c r="K110" s="3">
        <v>175000</v>
      </c>
      <c r="L110" t="s">
        <v>1071</v>
      </c>
      <c r="M110" t="s">
        <v>1072</v>
      </c>
      <c r="N110" t="s">
        <v>1073</v>
      </c>
      <c r="O110" t="s">
        <v>1074</v>
      </c>
      <c r="P110" t="s">
        <v>1075</v>
      </c>
      <c r="Q110" t="s">
        <v>1076</v>
      </c>
      <c r="R110" t="s">
        <v>1077</v>
      </c>
      <c r="S110" t="s">
        <v>1078</v>
      </c>
      <c r="T110" t="s">
        <v>1079</v>
      </c>
      <c r="U110" t="s">
        <v>1080</v>
      </c>
      <c r="V110" t="s">
        <v>1081</v>
      </c>
      <c r="W110" t="s">
        <v>1082</v>
      </c>
      <c r="X110">
        <v>20240630</v>
      </c>
      <c r="Y110" t="s">
        <v>1083</v>
      </c>
      <c r="Z110" t="s">
        <v>1084</v>
      </c>
      <c r="AA110" s="11" t="str">
        <f t="shared" si="1"/>
        <v>EXEC [dbo].[BalanceGeneralInsertar] @Nivel ='Auxiliar',@Transaccional ='Sí',@CodigoCuentaContable ='13551501', @NombreCuentaContable ='Anticipo Retención en la fuente 2,5%',@Identificacion ='900192072',@Sucursal ='',@NombreTercero ='SEOUL MEDICINA ESTETICA INTEGRAL Y SPA S.A.',@SaldoInicial = 175000,@MovimientoDebito = 0,@MovimientoCredito =0,@SaldoFinal = 0,@Fecha ='20240630',@IdentificacionCliente = '901434038';</v>
      </c>
      <c r="AB110" t="s">
        <v>1085</v>
      </c>
    </row>
    <row r="111" spans="1:28" x14ac:dyDescent="0.25">
      <c r="A111" s="2" t="s">
        <v>28</v>
      </c>
      <c r="B111" s="2" t="s">
        <v>29</v>
      </c>
      <c r="C111" s="2" t="s">
        <v>166</v>
      </c>
      <c r="D111" s="2" t="s">
        <v>167</v>
      </c>
      <c r="E111" s="2" t="s">
        <v>93</v>
      </c>
      <c r="F111" s="2"/>
      <c r="G111" s="2" t="s">
        <v>94</v>
      </c>
      <c r="H111" s="3">
        <v>421750</v>
      </c>
      <c r="I111" s="3">
        <v>0</v>
      </c>
      <c r="J111" s="3">
        <v>0</v>
      </c>
      <c r="K111" s="3">
        <v>421750</v>
      </c>
      <c r="L111" t="s">
        <v>1071</v>
      </c>
      <c r="M111" t="s">
        <v>1072</v>
      </c>
      <c r="N111" t="s">
        <v>1073</v>
      </c>
      <c r="O111" t="s">
        <v>1074</v>
      </c>
      <c r="P111" t="s">
        <v>1075</v>
      </c>
      <c r="Q111" t="s">
        <v>1076</v>
      </c>
      <c r="R111" t="s">
        <v>1077</v>
      </c>
      <c r="S111" t="s">
        <v>1078</v>
      </c>
      <c r="T111" t="s">
        <v>1079</v>
      </c>
      <c r="U111" t="s">
        <v>1080</v>
      </c>
      <c r="V111" t="s">
        <v>1081</v>
      </c>
      <c r="W111" t="s">
        <v>1082</v>
      </c>
      <c r="X111">
        <v>20240630</v>
      </c>
      <c r="Y111" t="s">
        <v>1083</v>
      </c>
      <c r="Z111" t="s">
        <v>1084</v>
      </c>
      <c r="AA111" s="11" t="str">
        <f t="shared" si="1"/>
        <v>EXEC [dbo].[BalanceGeneralInsertar] @Nivel ='Auxiliar',@Transaccional ='Sí',@CodigoCuentaContable ='13551501', @NombreCuentaContable ='Anticipo Retención en la fuente 2,5%',@Identificacion ='9900308524',@Sucursal ='',@NombreTercero ='INTÉGRIM S A S',@SaldoInicial = 421750,@MovimientoDebito = 0,@MovimientoCredito =0,@SaldoFinal = 0,@Fecha ='20240630',@IdentificacionCliente = '901434038';</v>
      </c>
      <c r="AB111" t="s">
        <v>1085</v>
      </c>
    </row>
    <row r="112" spans="1:28" x14ac:dyDescent="0.25">
      <c r="A112" s="2" t="s">
        <v>28</v>
      </c>
      <c r="B112" s="2" t="s">
        <v>29</v>
      </c>
      <c r="C112" s="2" t="s">
        <v>168</v>
      </c>
      <c r="D112" s="2" t="s">
        <v>169</v>
      </c>
      <c r="E112" s="2" t="s">
        <v>39</v>
      </c>
      <c r="F112" s="2"/>
      <c r="G112" s="2" t="s">
        <v>40</v>
      </c>
      <c r="H112" s="3" t="s">
        <v>773</v>
      </c>
      <c r="I112" s="3">
        <v>0</v>
      </c>
      <c r="J112" s="3">
        <v>0</v>
      </c>
      <c r="K112" s="3" t="s">
        <v>773</v>
      </c>
      <c r="L112" t="s">
        <v>1071</v>
      </c>
      <c r="M112" t="s">
        <v>1072</v>
      </c>
      <c r="N112" t="s">
        <v>1073</v>
      </c>
      <c r="O112" t="s">
        <v>1074</v>
      </c>
      <c r="P112" t="s">
        <v>1075</v>
      </c>
      <c r="Q112" t="s">
        <v>1076</v>
      </c>
      <c r="R112" t="s">
        <v>1077</v>
      </c>
      <c r="S112" t="s">
        <v>1078</v>
      </c>
      <c r="T112" t="s">
        <v>1079</v>
      </c>
      <c r="U112" t="s">
        <v>1080</v>
      </c>
      <c r="V112" t="s">
        <v>1081</v>
      </c>
      <c r="W112" t="s">
        <v>1082</v>
      </c>
      <c r="X112">
        <v>20240630</v>
      </c>
      <c r="Y112" t="s">
        <v>1083</v>
      </c>
      <c r="Z112" t="s">
        <v>1084</v>
      </c>
      <c r="AA112" s="11" t="str">
        <f t="shared" si="1"/>
        <v>EXEC [dbo].[BalanceGeneralInsertar] @Nivel ='Auxiliar',@Transaccional ='Sí',@CodigoCuentaContable ='13551503', @NombreCuentaContable ='Anticipo Retención en la fuente 4%',@Identificacion ='800197268',@Sucursal ='',@NombreTercero ='DIAN',@SaldoInicial = -14803518.18,@MovimientoDebito = 0,@MovimientoCredito =0,@SaldoFinal = 0,@Fecha ='20240630',@IdentificacionCliente = '901434038';</v>
      </c>
      <c r="AB112" t="s">
        <v>1085</v>
      </c>
    </row>
    <row r="113" spans="1:28" x14ac:dyDescent="0.25">
      <c r="A113" s="2" t="s">
        <v>28</v>
      </c>
      <c r="B113" s="2" t="s">
        <v>29</v>
      </c>
      <c r="C113" s="2" t="s">
        <v>168</v>
      </c>
      <c r="D113" s="2" t="s">
        <v>169</v>
      </c>
      <c r="E113" s="2" t="s">
        <v>115</v>
      </c>
      <c r="F113" s="2"/>
      <c r="G113" s="2" t="s">
        <v>116</v>
      </c>
      <c r="H113" s="3" t="s">
        <v>774</v>
      </c>
      <c r="I113" s="3">
        <v>0</v>
      </c>
      <c r="J113" s="3">
        <v>0</v>
      </c>
      <c r="K113" s="3" t="s">
        <v>774</v>
      </c>
      <c r="L113" t="s">
        <v>1071</v>
      </c>
      <c r="M113" t="s">
        <v>1072</v>
      </c>
      <c r="N113" t="s">
        <v>1073</v>
      </c>
      <c r="O113" t="s">
        <v>1074</v>
      </c>
      <c r="P113" t="s">
        <v>1075</v>
      </c>
      <c r="Q113" t="s">
        <v>1076</v>
      </c>
      <c r="R113" t="s">
        <v>1077</v>
      </c>
      <c r="S113" t="s">
        <v>1078</v>
      </c>
      <c r="T113" t="s">
        <v>1079</v>
      </c>
      <c r="U113" t="s">
        <v>1080</v>
      </c>
      <c r="V113" t="s">
        <v>1081</v>
      </c>
      <c r="W113" t="s">
        <v>1082</v>
      </c>
      <c r="X113">
        <v>20240630</v>
      </c>
      <c r="Y113" t="s">
        <v>1083</v>
      </c>
      <c r="Z113" t="s">
        <v>1084</v>
      </c>
      <c r="AA113" s="11" t="str">
        <f t="shared" si="1"/>
        <v>EXEC [dbo].[BalanceGeneralInsertar] @Nivel ='Auxiliar',@Transaccional ='Sí',@CodigoCuentaContable ='13551503', @NombreCuentaContable ='Anticipo Retención en la fuente 4%',@Identificacion ='901093584',@Sucursal ='',@NombreTercero ='VITTI S A S',@SaldoInicial = 5703922.56,@MovimientoDebito = 0,@MovimientoCredito =0,@SaldoFinal = 0,@Fecha ='20240630',@IdentificacionCliente = '901434038';</v>
      </c>
      <c r="AB113" t="s">
        <v>1085</v>
      </c>
    </row>
    <row r="114" spans="1:28" x14ac:dyDescent="0.25">
      <c r="A114" s="2" t="s">
        <v>28</v>
      </c>
      <c r="B114" s="2" t="s">
        <v>29</v>
      </c>
      <c r="C114" s="2" t="s">
        <v>168</v>
      </c>
      <c r="D114" s="2" t="s">
        <v>169</v>
      </c>
      <c r="E114" s="2" t="s">
        <v>103</v>
      </c>
      <c r="F114" s="2"/>
      <c r="G114" s="2" t="s">
        <v>104</v>
      </c>
      <c r="H114" s="3" t="s">
        <v>775</v>
      </c>
      <c r="I114" s="3">
        <v>0</v>
      </c>
      <c r="J114" s="3">
        <v>0</v>
      </c>
      <c r="K114" s="3" t="s">
        <v>775</v>
      </c>
      <c r="L114" t="s">
        <v>1071</v>
      </c>
      <c r="M114" t="s">
        <v>1072</v>
      </c>
      <c r="N114" t="s">
        <v>1073</v>
      </c>
      <c r="O114" t="s">
        <v>1074</v>
      </c>
      <c r="P114" t="s">
        <v>1075</v>
      </c>
      <c r="Q114" t="s">
        <v>1076</v>
      </c>
      <c r="R114" t="s">
        <v>1077</v>
      </c>
      <c r="S114" t="s">
        <v>1078</v>
      </c>
      <c r="T114" t="s">
        <v>1079</v>
      </c>
      <c r="U114" t="s">
        <v>1080</v>
      </c>
      <c r="V114" t="s">
        <v>1081</v>
      </c>
      <c r="W114" t="s">
        <v>1082</v>
      </c>
      <c r="X114">
        <v>20240630</v>
      </c>
      <c r="Y114" t="s">
        <v>1083</v>
      </c>
      <c r="Z114" t="s">
        <v>1084</v>
      </c>
      <c r="AA114" s="11" t="str">
        <f t="shared" si="1"/>
        <v>EXEC [dbo].[BalanceGeneralInsertar] @Nivel ='Auxiliar',@Transaccional ='Sí',@CodigoCuentaContable ='13551503', @NombreCuentaContable ='Anticipo Retención en la fuente 4%',@Identificacion ='900297847',@Sucursal ='',@NombreTercero ='CENTRO CONTRA EFECTOS DE LA EDAD S.A.S',@SaldoInicial = 1883342.6,@MovimientoDebito = 0,@MovimientoCredito =0,@SaldoFinal = 0,@Fecha ='20240630',@IdentificacionCliente = '901434038';</v>
      </c>
      <c r="AB114" t="s">
        <v>1085</v>
      </c>
    </row>
    <row r="115" spans="1:28" x14ac:dyDescent="0.25">
      <c r="A115" s="2" t="s">
        <v>28</v>
      </c>
      <c r="B115" s="2" t="s">
        <v>29</v>
      </c>
      <c r="C115" s="2" t="s">
        <v>168</v>
      </c>
      <c r="D115" s="2" t="s">
        <v>169</v>
      </c>
      <c r="E115" s="2" t="s">
        <v>105</v>
      </c>
      <c r="F115" s="2"/>
      <c r="G115" s="2" t="s">
        <v>106</v>
      </c>
      <c r="H115" s="3" t="s">
        <v>776</v>
      </c>
      <c r="I115" s="3">
        <v>0</v>
      </c>
      <c r="J115" s="3">
        <v>0</v>
      </c>
      <c r="K115" s="3" t="s">
        <v>776</v>
      </c>
      <c r="L115" t="s">
        <v>1071</v>
      </c>
      <c r="M115" t="s">
        <v>1072</v>
      </c>
      <c r="N115" t="s">
        <v>1073</v>
      </c>
      <c r="O115" t="s">
        <v>1074</v>
      </c>
      <c r="P115" t="s">
        <v>1075</v>
      </c>
      <c r="Q115" t="s">
        <v>1076</v>
      </c>
      <c r="R115" t="s">
        <v>1077</v>
      </c>
      <c r="S115" t="s">
        <v>1078</v>
      </c>
      <c r="T115" t="s">
        <v>1079</v>
      </c>
      <c r="U115" t="s">
        <v>1080</v>
      </c>
      <c r="V115" t="s">
        <v>1081</v>
      </c>
      <c r="W115" t="s">
        <v>1082</v>
      </c>
      <c r="X115">
        <v>20240630</v>
      </c>
      <c r="Y115" t="s">
        <v>1083</v>
      </c>
      <c r="Z115" t="s">
        <v>1084</v>
      </c>
      <c r="AA115" s="11" t="str">
        <f t="shared" si="1"/>
        <v>EXEC [dbo].[BalanceGeneralInsertar] @Nivel ='Auxiliar',@Transaccional ='Sí',@CodigoCuentaContable ='13551503', @NombreCuentaContable ='Anticipo Retención en la fuente 4%',@Identificacion ='901000155',@Sucursal ='',@NombreTercero ='DELUXE BY CRISTINA JARAMILLO S.A.S',@SaldoInicial = 2700279.2,@MovimientoDebito = 0,@MovimientoCredito =0,@SaldoFinal = 0,@Fecha ='20240630',@IdentificacionCliente = '901434038';</v>
      </c>
      <c r="AB115" t="s">
        <v>1085</v>
      </c>
    </row>
    <row r="116" spans="1:28" x14ac:dyDescent="0.25">
      <c r="A116" s="2" t="s">
        <v>28</v>
      </c>
      <c r="B116" s="2" t="s">
        <v>29</v>
      </c>
      <c r="C116" s="2" t="s">
        <v>168</v>
      </c>
      <c r="D116" s="2" t="s">
        <v>169</v>
      </c>
      <c r="E116" s="2" t="s">
        <v>89</v>
      </c>
      <c r="F116" s="2"/>
      <c r="G116" s="2" t="s">
        <v>90</v>
      </c>
      <c r="H116" s="3" t="s">
        <v>777</v>
      </c>
      <c r="I116" s="3">
        <v>0</v>
      </c>
      <c r="J116" s="3">
        <v>0</v>
      </c>
      <c r="K116" s="3" t="s">
        <v>777</v>
      </c>
      <c r="L116" t="s">
        <v>1071</v>
      </c>
      <c r="M116" t="s">
        <v>1072</v>
      </c>
      <c r="N116" t="s">
        <v>1073</v>
      </c>
      <c r="O116" t="s">
        <v>1074</v>
      </c>
      <c r="P116" t="s">
        <v>1075</v>
      </c>
      <c r="Q116" t="s">
        <v>1076</v>
      </c>
      <c r="R116" t="s">
        <v>1077</v>
      </c>
      <c r="S116" t="s">
        <v>1078</v>
      </c>
      <c r="T116" t="s">
        <v>1079</v>
      </c>
      <c r="U116" t="s">
        <v>1080</v>
      </c>
      <c r="V116" t="s">
        <v>1081</v>
      </c>
      <c r="W116" t="s">
        <v>1082</v>
      </c>
      <c r="X116">
        <v>20240630</v>
      </c>
      <c r="Y116" t="s">
        <v>1083</v>
      </c>
      <c r="Z116" t="s">
        <v>1084</v>
      </c>
      <c r="AA116" s="11" t="str">
        <f t="shared" si="1"/>
        <v>EXEC [dbo].[BalanceGeneralInsertar] @Nivel ='Auxiliar',@Transaccional ='Sí',@CodigoCuentaContable ='13551503', @NombreCuentaContable ='Anticipo Retención en la fuente 4%',@Identificacion ='900192072',@Sucursal ='',@NombreTercero ='SEOUL MEDICINA ESTETICA INTEGRAL Y SPA S.A.',@SaldoInicial = 2371428.6,@MovimientoDebito = 0,@MovimientoCredito =0,@SaldoFinal = 0,@Fecha ='20240630',@IdentificacionCliente = '901434038';</v>
      </c>
      <c r="AB116" t="s">
        <v>1085</v>
      </c>
    </row>
    <row r="117" spans="1:28" x14ac:dyDescent="0.25">
      <c r="A117" s="2" t="s">
        <v>28</v>
      </c>
      <c r="B117" s="2" t="s">
        <v>29</v>
      </c>
      <c r="C117" s="2" t="s">
        <v>168</v>
      </c>
      <c r="D117" s="2" t="s">
        <v>169</v>
      </c>
      <c r="E117" s="2" t="s">
        <v>139</v>
      </c>
      <c r="F117" s="2"/>
      <c r="G117" s="2" t="s">
        <v>140</v>
      </c>
      <c r="H117" s="3">
        <v>1298000</v>
      </c>
      <c r="I117" s="3">
        <v>0</v>
      </c>
      <c r="J117" s="3">
        <v>0</v>
      </c>
      <c r="K117" s="3">
        <v>1298000</v>
      </c>
      <c r="L117" t="s">
        <v>1071</v>
      </c>
      <c r="M117" t="s">
        <v>1072</v>
      </c>
      <c r="N117" t="s">
        <v>1073</v>
      </c>
      <c r="O117" t="s">
        <v>1074</v>
      </c>
      <c r="P117" t="s">
        <v>1075</v>
      </c>
      <c r="Q117" t="s">
        <v>1076</v>
      </c>
      <c r="R117" t="s">
        <v>1077</v>
      </c>
      <c r="S117" t="s">
        <v>1078</v>
      </c>
      <c r="T117" t="s">
        <v>1079</v>
      </c>
      <c r="U117" t="s">
        <v>1080</v>
      </c>
      <c r="V117" t="s">
        <v>1081</v>
      </c>
      <c r="W117" t="s">
        <v>1082</v>
      </c>
      <c r="X117">
        <v>20240630</v>
      </c>
      <c r="Y117" t="s">
        <v>1083</v>
      </c>
      <c r="Z117" t="s">
        <v>1084</v>
      </c>
      <c r="AA117" s="11" t="str">
        <f t="shared" si="1"/>
        <v>EXEC [dbo].[BalanceGeneralInsertar] @Nivel ='Auxiliar',@Transaccional ='Sí',@CodigoCuentaContable ='13551503', @NombreCuentaContable ='Anticipo Retención en la fuente 4%',@Identificacion ='900347399',@Sucursal ='',@NombreTercero ='EXPORT HEALTH SAS',@SaldoInicial = 1298000,@MovimientoDebito = 0,@MovimientoCredito =0,@SaldoFinal = 0,@Fecha ='20240630',@IdentificacionCliente = '901434038';</v>
      </c>
      <c r="AB117" t="s">
        <v>1085</v>
      </c>
    </row>
    <row r="118" spans="1:28" x14ac:dyDescent="0.25">
      <c r="A118" s="2" t="s">
        <v>28</v>
      </c>
      <c r="B118" s="2" t="s">
        <v>29</v>
      </c>
      <c r="C118" s="2" t="s">
        <v>168</v>
      </c>
      <c r="D118" s="2" t="s">
        <v>169</v>
      </c>
      <c r="E118" s="2" t="s">
        <v>83</v>
      </c>
      <c r="F118" s="2"/>
      <c r="G118" s="2" t="s">
        <v>84</v>
      </c>
      <c r="H118" s="3" t="s">
        <v>778</v>
      </c>
      <c r="I118" s="3">
        <v>0</v>
      </c>
      <c r="J118" s="3">
        <v>0</v>
      </c>
      <c r="K118" s="3" t="s">
        <v>778</v>
      </c>
      <c r="L118" t="s">
        <v>1071</v>
      </c>
      <c r="M118" t="s">
        <v>1072</v>
      </c>
      <c r="N118" t="s">
        <v>1073</v>
      </c>
      <c r="O118" t="s">
        <v>1074</v>
      </c>
      <c r="P118" t="s">
        <v>1075</v>
      </c>
      <c r="Q118" t="s">
        <v>1076</v>
      </c>
      <c r="R118" t="s">
        <v>1077</v>
      </c>
      <c r="S118" t="s">
        <v>1078</v>
      </c>
      <c r="T118" t="s">
        <v>1079</v>
      </c>
      <c r="U118" t="s">
        <v>1080</v>
      </c>
      <c r="V118" t="s">
        <v>1081</v>
      </c>
      <c r="W118" t="s">
        <v>1082</v>
      </c>
      <c r="X118">
        <v>20240630</v>
      </c>
      <c r="Y118" t="s">
        <v>1083</v>
      </c>
      <c r="Z118" t="s">
        <v>1084</v>
      </c>
      <c r="AA118" s="11" t="str">
        <f t="shared" si="1"/>
        <v>EXEC [dbo].[BalanceGeneralInsertar] @Nivel ='Auxiliar',@Transaccional ='Sí',@CodigoCuentaContable ='13551503', @NombreCuentaContable ='Anticipo Retención en la fuente 4%',@Identificacion ='830081040',@Sucursal ='',@NombreTercero ='INSTITUTO DE ESTETICA MEDICA DE COLOMBIA LTDA.',@SaldoInicial = 846545.22,@MovimientoDebito = 0,@MovimientoCredito =0,@SaldoFinal = 0,@Fecha ='20240630',@IdentificacionCliente = '901434038';</v>
      </c>
      <c r="AB118" t="s">
        <v>1085</v>
      </c>
    </row>
    <row r="119" spans="1:28" x14ac:dyDescent="0.25">
      <c r="A119" s="2" t="s">
        <v>28</v>
      </c>
      <c r="B119" s="2" t="s">
        <v>29</v>
      </c>
      <c r="C119" s="2" t="s">
        <v>170</v>
      </c>
      <c r="D119" s="2" t="s">
        <v>171</v>
      </c>
      <c r="E119" s="2" t="s">
        <v>39</v>
      </c>
      <c r="F119" s="2"/>
      <c r="G119" s="2" t="s">
        <v>40</v>
      </c>
      <c r="H119" s="3" t="s">
        <v>779</v>
      </c>
      <c r="I119" s="3">
        <v>0</v>
      </c>
      <c r="J119" s="3">
        <v>0</v>
      </c>
      <c r="K119" s="3" t="s">
        <v>779</v>
      </c>
      <c r="L119" t="s">
        <v>1071</v>
      </c>
      <c r="M119" t="s">
        <v>1072</v>
      </c>
      <c r="N119" t="s">
        <v>1073</v>
      </c>
      <c r="O119" t="s">
        <v>1074</v>
      </c>
      <c r="P119" t="s">
        <v>1075</v>
      </c>
      <c r="Q119" t="s">
        <v>1076</v>
      </c>
      <c r="R119" t="s">
        <v>1077</v>
      </c>
      <c r="S119" t="s">
        <v>1078</v>
      </c>
      <c r="T119" t="s">
        <v>1079</v>
      </c>
      <c r="U119" t="s">
        <v>1080</v>
      </c>
      <c r="V119" t="s">
        <v>1081</v>
      </c>
      <c r="W119" t="s">
        <v>1082</v>
      </c>
      <c r="X119">
        <v>20240630</v>
      </c>
      <c r="Y119" t="s">
        <v>1083</v>
      </c>
      <c r="Z119" t="s">
        <v>1084</v>
      </c>
      <c r="AA119" s="11" t="str">
        <f t="shared" si="1"/>
        <v>EXEC [dbo].[BalanceGeneralInsertar] @Nivel ='Auxiliar',@Transaccional ='Sí',@CodigoCuentaContable ='13551504', @NombreCuentaContable ='Devolución Retención en la fuente 4%',@Identificacion ='800197268',@Sucursal ='',@NombreTercero ='DIAN',@SaldoInicial = 595238.08,@MovimientoDebito = 0,@MovimientoCredito =0,@SaldoFinal = 0,@Fecha ='20240630',@IdentificacionCliente = '901434038';</v>
      </c>
      <c r="AB119" t="s">
        <v>1085</v>
      </c>
    </row>
    <row r="120" spans="1:28" x14ac:dyDescent="0.25">
      <c r="A120" s="2" t="s">
        <v>28</v>
      </c>
      <c r="B120" s="2" t="s">
        <v>29</v>
      </c>
      <c r="C120" s="2" t="s">
        <v>170</v>
      </c>
      <c r="D120" s="2" t="s">
        <v>171</v>
      </c>
      <c r="E120" s="2" t="s">
        <v>115</v>
      </c>
      <c r="F120" s="2"/>
      <c r="G120" s="2" t="s">
        <v>116</v>
      </c>
      <c r="H120" s="3" t="s">
        <v>780</v>
      </c>
      <c r="I120" s="3">
        <v>0</v>
      </c>
      <c r="J120" s="3">
        <v>0</v>
      </c>
      <c r="K120" s="3" t="s">
        <v>780</v>
      </c>
      <c r="L120" t="s">
        <v>1071</v>
      </c>
      <c r="M120" t="s">
        <v>1072</v>
      </c>
      <c r="N120" t="s">
        <v>1073</v>
      </c>
      <c r="O120" t="s">
        <v>1074</v>
      </c>
      <c r="P120" t="s">
        <v>1075</v>
      </c>
      <c r="Q120" t="s">
        <v>1076</v>
      </c>
      <c r="R120" t="s">
        <v>1077</v>
      </c>
      <c r="S120" t="s">
        <v>1078</v>
      </c>
      <c r="T120" t="s">
        <v>1079</v>
      </c>
      <c r="U120" t="s">
        <v>1080</v>
      </c>
      <c r="V120" t="s">
        <v>1081</v>
      </c>
      <c r="W120" t="s">
        <v>1082</v>
      </c>
      <c r="X120">
        <v>20240630</v>
      </c>
      <c r="Y120" t="s">
        <v>1083</v>
      </c>
      <c r="Z120" t="s">
        <v>1084</v>
      </c>
      <c r="AA120" s="11" t="str">
        <f t="shared" si="1"/>
        <v>EXEC [dbo].[BalanceGeneralInsertar] @Nivel ='Auxiliar',@Transaccional ='Sí',@CodigoCuentaContable ='13551504', @NombreCuentaContable ='Devolución Retención en la fuente 4%',@Identificacion ='901093584',@Sucursal ='',@NombreTercero ='VITTI S A S',@SaldoInicial = -595238.08,@MovimientoDebito = 0,@MovimientoCredito =0,@SaldoFinal = 0,@Fecha ='20240630',@IdentificacionCliente = '901434038';</v>
      </c>
      <c r="AB120" t="s">
        <v>1085</v>
      </c>
    </row>
    <row r="121" spans="1:28" x14ac:dyDescent="0.25">
      <c r="A121" s="2" t="s">
        <v>28</v>
      </c>
      <c r="B121" s="2" t="s">
        <v>29</v>
      </c>
      <c r="C121" s="2" t="s">
        <v>172</v>
      </c>
      <c r="D121" s="2" t="s">
        <v>173</v>
      </c>
      <c r="E121" s="2" t="s">
        <v>39</v>
      </c>
      <c r="F121" s="2"/>
      <c r="G121" s="2" t="s">
        <v>40</v>
      </c>
      <c r="H121" s="3">
        <v>-440000</v>
      </c>
      <c r="I121" s="3">
        <v>0</v>
      </c>
      <c r="J121" s="3">
        <v>0</v>
      </c>
      <c r="K121" s="3">
        <v>-440000</v>
      </c>
      <c r="L121" t="s">
        <v>1071</v>
      </c>
      <c r="M121" t="s">
        <v>1072</v>
      </c>
      <c r="N121" t="s">
        <v>1073</v>
      </c>
      <c r="O121" t="s">
        <v>1074</v>
      </c>
      <c r="P121" t="s">
        <v>1075</v>
      </c>
      <c r="Q121" t="s">
        <v>1076</v>
      </c>
      <c r="R121" t="s">
        <v>1077</v>
      </c>
      <c r="S121" t="s">
        <v>1078</v>
      </c>
      <c r="T121" t="s">
        <v>1079</v>
      </c>
      <c r="U121" t="s">
        <v>1080</v>
      </c>
      <c r="V121" t="s">
        <v>1081</v>
      </c>
      <c r="W121" t="s">
        <v>1082</v>
      </c>
      <c r="X121">
        <v>20240630</v>
      </c>
      <c r="Y121" t="s">
        <v>1083</v>
      </c>
      <c r="Z121" t="s">
        <v>1084</v>
      </c>
      <c r="AA121" s="11" t="str">
        <f t="shared" si="1"/>
        <v>EXEC [dbo].[BalanceGeneralInsertar] @Nivel ='Auxiliar',@Transaccional ='Sí',@CodigoCuentaContable ='13551509', @NombreCuentaContable ='Anticipo Retención en la fuente 11%',@Identificacion ='800197268',@Sucursal ='',@NombreTercero ='DIAN',@SaldoInicial = -440000,@MovimientoDebito = 0,@MovimientoCredito =0,@SaldoFinal = 0,@Fecha ='20240630',@IdentificacionCliente = '901434038';</v>
      </c>
      <c r="AB121" t="s">
        <v>1085</v>
      </c>
    </row>
    <row r="122" spans="1:28" x14ac:dyDescent="0.25">
      <c r="A122" s="2" t="s">
        <v>28</v>
      </c>
      <c r="B122" s="2" t="s">
        <v>29</v>
      </c>
      <c r="C122" s="2" t="s">
        <v>172</v>
      </c>
      <c r="D122" s="2" t="s">
        <v>173</v>
      </c>
      <c r="E122" s="2" t="s">
        <v>77</v>
      </c>
      <c r="F122" s="2"/>
      <c r="G122" s="2" t="s">
        <v>78</v>
      </c>
      <c r="H122" s="3">
        <v>440000</v>
      </c>
      <c r="I122" s="3">
        <v>0</v>
      </c>
      <c r="J122" s="3">
        <v>0</v>
      </c>
      <c r="K122" s="3">
        <v>440000</v>
      </c>
      <c r="L122" t="s">
        <v>1071</v>
      </c>
      <c r="M122" t="s">
        <v>1072</v>
      </c>
      <c r="N122" t="s">
        <v>1073</v>
      </c>
      <c r="O122" t="s">
        <v>1074</v>
      </c>
      <c r="P122" t="s">
        <v>1075</v>
      </c>
      <c r="Q122" t="s">
        <v>1076</v>
      </c>
      <c r="R122" t="s">
        <v>1077</v>
      </c>
      <c r="S122" t="s">
        <v>1078</v>
      </c>
      <c r="T122" t="s">
        <v>1079</v>
      </c>
      <c r="U122" t="s">
        <v>1080</v>
      </c>
      <c r="V122" t="s">
        <v>1081</v>
      </c>
      <c r="W122" t="s">
        <v>1082</v>
      </c>
      <c r="X122">
        <v>20240630</v>
      </c>
      <c r="Y122" t="s">
        <v>1083</v>
      </c>
      <c r="Z122" t="s">
        <v>1084</v>
      </c>
      <c r="AA122" s="11" t="str">
        <f t="shared" si="1"/>
        <v>EXEC [dbo].[BalanceGeneralInsertar] @Nivel ='Auxiliar',@Transaccional ='Sí',@CodigoCuentaContable ='13551509', @NombreCuentaContable ='Anticipo Retención en la fuente 11%',@Identificacion ='900161580',@Sucursal ='',@NombreTercero ='ORGANIZACION SANTAMARIA SAS',@SaldoInicial = 440000,@MovimientoDebito = 0,@MovimientoCredito =0,@SaldoFinal = 0,@Fecha ='20240630',@IdentificacionCliente = '901434038';</v>
      </c>
      <c r="AB122" t="s">
        <v>1085</v>
      </c>
    </row>
    <row r="123" spans="1:28" x14ac:dyDescent="0.25">
      <c r="A123" s="2" t="s">
        <v>28</v>
      </c>
      <c r="B123" s="2" t="s">
        <v>29</v>
      </c>
      <c r="C123" s="2" t="s">
        <v>174</v>
      </c>
      <c r="D123" s="2" t="s">
        <v>175</v>
      </c>
      <c r="E123" s="2" t="s">
        <v>39</v>
      </c>
      <c r="F123" s="2"/>
      <c r="G123" s="2" t="s">
        <v>40</v>
      </c>
      <c r="H123" s="3" t="s">
        <v>781</v>
      </c>
      <c r="I123" s="3">
        <v>0</v>
      </c>
      <c r="J123" s="3">
        <v>0</v>
      </c>
      <c r="K123" s="3" t="s">
        <v>781</v>
      </c>
      <c r="L123" t="s">
        <v>1071</v>
      </c>
      <c r="M123" t="s">
        <v>1072</v>
      </c>
      <c r="N123" t="s">
        <v>1073</v>
      </c>
      <c r="O123" t="s">
        <v>1074</v>
      </c>
      <c r="P123" t="s">
        <v>1075</v>
      </c>
      <c r="Q123" t="s">
        <v>1076</v>
      </c>
      <c r="R123" t="s">
        <v>1077</v>
      </c>
      <c r="S123" t="s">
        <v>1078</v>
      </c>
      <c r="T123" t="s">
        <v>1079</v>
      </c>
      <c r="U123" t="s">
        <v>1080</v>
      </c>
      <c r="V123" t="s">
        <v>1081</v>
      </c>
      <c r="W123" t="s">
        <v>1082</v>
      </c>
      <c r="X123">
        <v>20240630</v>
      </c>
      <c r="Y123" t="s">
        <v>1083</v>
      </c>
      <c r="Z123" t="s">
        <v>1084</v>
      </c>
      <c r="AA123" s="11" t="str">
        <f t="shared" si="1"/>
        <v>EXEC [dbo].[BalanceGeneralInsertar] @Nivel ='Auxiliar',@Transaccional ='Sí',@CodigoCuentaContable ='13551515', @NombreCuentaContable ='Anticipo Retención en la fuente 2%',@Identificacion ='800197268',@Sucursal ='',@NombreTercero ='DIAN',@SaldoInicial = -70064.5,@MovimientoDebito = 0,@MovimientoCredito =0,@SaldoFinal = 0,@Fecha ='20240630',@IdentificacionCliente = '901434038';</v>
      </c>
      <c r="AB123" t="s">
        <v>1085</v>
      </c>
    </row>
    <row r="124" spans="1:28" x14ac:dyDescent="0.25">
      <c r="A124" s="2" t="s">
        <v>28</v>
      </c>
      <c r="B124" s="2" t="s">
        <v>29</v>
      </c>
      <c r="C124" s="2" t="s">
        <v>174</v>
      </c>
      <c r="D124" s="2" t="s">
        <v>175</v>
      </c>
      <c r="E124" s="2" t="s">
        <v>107</v>
      </c>
      <c r="F124" s="2"/>
      <c r="G124" s="2" t="s">
        <v>108</v>
      </c>
      <c r="H124" s="3" t="s">
        <v>782</v>
      </c>
      <c r="I124" s="3">
        <v>0</v>
      </c>
      <c r="J124" s="3">
        <v>0</v>
      </c>
      <c r="K124" s="3" t="s">
        <v>782</v>
      </c>
      <c r="L124" t="s">
        <v>1071</v>
      </c>
      <c r="M124" t="s">
        <v>1072</v>
      </c>
      <c r="N124" t="s">
        <v>1073</v>
      </c>
      <c r="O124" t="s">
        <v>1074</v>
      </c>
      <c r="P124" t="s">
        <v>1075</v>
      </c>
      <c r="Q124" t="s">
        <v>1076</v>
      </c>
      <c r="R124" t="s">
        <v>1077</v>
      </c>
      <c r="S124" t="s">
        <v>1078</v>
      </c>
      <c r="T124" t="s">
        <v>1079</v>
      </c>
      <c r="U124" t="s">
        <v>1080</v>
      </c>
      <c r="V124" t="s">
        <v>1081</v>
      </c>
      <c r="W124" t="s">
        <v>1082</v>
      </c>
      <c r="X124">
        <v>20240630</v>
      </c>
      <c r="Y124" t="s">
        <v>1083</v>
      </c>
      <c r="Z124" t="s">
        <v>1084</v>
      </c>
      <c r="AA124" s="11" t="str">
        <f t="shared" si="1"/>
        <v>EXEC [dbo].[BalanceGeneralInsertar] @Nivel ='Auxiliar',@Transaccional ='Sí',@CodigoCuentaContable ='13551515', @NombreCuentaContable ='Anticipo Retención en la fuente 2%',@Identificacion ='860531315',@Sucursal ='',@NombreTercero ='ALIANZA FIDUCIARIA S.A.',@SaldoInicial = 96071.08,@MovimientoDebito = 0,@MovimientoCredito =0,@SaldoFinal = 0,@Fecha ='20240630',@IdentificacionCliente = '901434038';</v>
      </c>
      <c r="AB124" t="s">
        <v>1085</v>
      </c>
    </row>
    <row r="125" spans="1:28" x14ac:dyDescent="0.25">
      <c r="A125" s="2" t="s">
        <v>28</v>
      </c>
      <c r="B125" s="2" t="s">
        <v>29</v>
      </c>
      <c r="C125" s="2" t="s">
        <v>176</v>
      </c>
      <c r="D125" s="2" t="s">
        <v>177</v>
      </c>
      <c r="E125" s="2" t="s">
        <v>107</v>
      </c>
      <c r="F125" s="2"/>
      <c r="G125" s="2" t="s">
        <v>108</v>
      </c>
      <c r="H125" s="3" t="s">
        <v>783</v>
      </c>
      <c r="I125" s="3">
        <v>0</v>
      </c>
      <c r="J125" s="3">
        <v>0</v>
      </c>
      <c r="K125" s="3" t="s">
        <v>783</v>
      </c>
      <c r="L125" t="s">
        <v>1071</v>
      </c>
      <c r="M125" t="s">
        <v>1072</v>
      </c>
      <c r="N125" t="s">
        <v>1073</v>
      </c>
      <c r="O125" t="s">
        <v>1074</v>
      </c>
      <c r="P125" t="s">
        <v>1075</v>
      </c>
      <c r="Q125" t="s">
        <v>1076</v>
      </c>
      <c r="R125" t="s">
        <v>1077</v>
      </c>
      <c r="S125" t="s">
        <v>1078</v>
      </c>
      <c r="T125" t="s">
        <v>1079</v>
      </c>
      <c r="U125" t="s">
        <v>1080</v>
      </c>
      <c r="V125" t="s">
        <v>1081</v>
      </c>
      <c r="W125" t="s">
        <v>1082</v>
      </c>
      <c r="X125">
        <v>20240630</v>
      </c>
      <c r="Y125" t="s">
        <v>1083</v>
      </c>
      <c r="Z125" t="s">
        <v>1084</v>
      </c>
      <c r="AA125" s="11" t="str">
        <f t="shared" si="1"/>
        <v>EXEC [dbo].[BalanceGeneralInsertar] @Nivel ='Auxiliar',@Transaccional ='Sí',@CodigoCuentaContable ='13551517', @NombreCuentaContable ='Anticipo Retención en la fuente 1%',@Identificacion ='860531315',@Sucursal ='',@NombreTercero ='ALIANZA FIDUCIARIA S.A.',@SaldoInicial = 163821.09,@MovimientoDebito = 0,@MovimientoCredito =0,@SaldoFinal = 0,@Fecha ='20240630',@IdentificacionCliente = '901434038';</v>
      </c>
      <c r="AB125" t="s">
        <v>1085</v>
      </c>
    </row>
    <row r="126" spans="1:28" x14ac:dyDescent="0.25">
      <c r="A126" s="2" t="s">
        <v>25</v>
      </c>
      <c r="B126" s="2" t="s">
        <v>16</v>
      </c>
      <c r="C126" s="2" t="s">
        <v>178</v>
      </c>
      <c r="D126" s="2" t="s">
        <v>179</v>
      </c>
      <c r="E126" s="2"/>
      <c r="F126" s="2"/>
      <c r="G126" s="2"/>
      <c r="H126" s="3" t="s">
        <v>784</v>
      </c>
      <c r="I126" s="3" t="s">
        <v>767</v>
      </c>
      <c r="J126" s="3">
        <v>4564000</v>
      </c>
      <c r="K126" s="3" t="s">
        <v>785</v>
      </c>
      <c r="L126" t="s">
        <v>1071</v>
      </c>
      <c r="M126" t="s">
        <v>1072</v>
      </c>
      <c r="N126" t="s">
        <v>1073</v>
      </c>
      <c r="O126" t="s">
        <v>1074</v>
      </c>
      <c r="P126" t="s">
        <v>1075</v>
      </c>
      <c r="Q126" t="s">
        <v>1076</v>
      </c>
      <c r="R126" t="s">
        <v>1077</v>
      </c>
      <c r="S126" t="s">
        <v>1078</v>
      </c>
      <c r="T126" t="s">
        <v>1079</v>
      </c>
      <c r="U126" t="s">
        <v>1080</v>
      </c>
      <c r="V126" t="s">
        <v>1081</v>
      </c>
      <c r="W126" t="s">
        <v>1082</v>
      </c>
      <c r="X126">
        <v>20240630</v>
      </c>
      <c r="Y126" t="s">
        <v>1083</v>
      </c>
      <c r="Z126" t="s">
        <v>1084</v>
      </c>
      <c r="AA126" s="11" t="str">
        <f t="shared" si="1"/>
        <v>EXEC [dbo].[BalanceGeneralInsertar] @Nivel ='Subcuenta',@Transaccional ='No',@CodigoCuentaContable ='135517', @NombreCuentaContable ='Impuesto a las ventas retenido',@Identificacion ='',@Sucursal ='',@NombreTercero ='',@SaldoInicial = 2244665.97,@MovimientoDebito = 2512895.32,@MovimientoCredito =4564000,@SaldoFinal = 4564000,@Fecha ='20240630',@IdentificacionCliente = '901434038';</v>
      </c>
      <c r="AB126" t="s">
        <v>1085</v>
      </c>
    </row>
    <row r="127" spans="1:28" x14ac:dyDescent="0.25">
      <c r="A127" s="2" t="s">
        <v>28</v>
      </c>
      <c r="B127" s="2" t="s">
        <v>29</v>
      </c>
      <c r="C127" s="2" t="s">
        <v>180</v>
      </c>
      <c r="D127" s="2" t="s">
        <v>181</v>
      </c>
      <c r="E127" s="2" t="s">
        <v>39</v>
      </c>
      <c r="F127" s="2"/>
      <c r="G127" s="2" t="s">
        <v>40</v>
      </c>
      <c r="H127" s="3" t="s">
        <v>786</v>
      </c>
      <c r="I127" s="3">
        <v>0</v>
      </c>
      <c r="J127" s="3">
        <v>4564000</v>
      </c>
      <c r="K127" s="3" t="s">
        <v>787</v>
      </c>
      <c r="L127" t="s">
        <v>1071</v>
      </c>
      <c r="M127" t="s">
        <v>1072</v>
      </c>
      <c r="N127" t="s">
        <v>1073</v>
      </c>
      <c r="O127" t="s">
        <v>1074</v>
      </c>
      <c r="P127" t="s">
        <v>1075</v>
      </c>
      <c r="Q127" t="s">
        <v>1076</v>
      </c>
      <c r="R127" t="s">
        <v>1077</v>
      </c>
      <c r="S127" t="s">
        <v>1078</v>
      </c>
      <c r="T127" t="s">
        <v>1079</v>
      </c>
      <c r="U127" t="s">
        <v>1080</v>
      </c>
      <c r="V127" t="s">
        <v>1081</v>
      </c>
      <c r="W127" t="s">
        <v>1082</v>
      </c>
      <c r="X127">
        <v>20240630</v>
      </c>
      <c r="Y127" t="s">
        <v>1083</v>
      </c>
      <c r="Z127" t="s">
        <v>1084</v>
      </c>
      <c r="AA127" s="11" t="str">
        <f t="shared" si="1"/>
        <v>EXEC [dbo].[BalanceGeneralInsertar] @Nivel ='Auxiliar',@Transaccional ='Sí',@CodigoCuentaContable ='13551701', @NombreCuentaContable ='Impuesto a las ventas retenido 15%',@Identificacion ='800197268',@Sucursal ='',@NombreTercero ='DIAN',@SaldoInicial = -31325917.64,@MovimientoDebito = 0,@MovimientoCredito =4564000,@SaldoFinal = 4564000,@Fecha ='20240630',@IdentificacionCliente = '901434038';</v>
      </c>
      <c r="AB127" t="s">
        <v>1085</v>
      </c>
    </row>
    <row r="128" spans="1:28" x14ac:dyDescent="0.25">
      <c r="A128" s="2" t="s">
        <v>28</v>
      </c>
      <c r="B128" s="2" t="s">
        <v>29</v>
      </c>
      <c r="C128" s="2" t="s">
        <v>180</v>
      </c>
      <c r="D128" s="2" t="s">
        <v>181</v>
      </c>
      <c r="E128" s="2" t="s">
        <v>115</v>
      </c>
      <c r="F128" s="2"/>
      <c r="G128" s="2" t="s">
        <v>116</v>
      </c>
      <c r="H128" s="3" t="s">
        <v>788</v>
      </c>
      <c r="I128" s="3">
        <v>0</v>
      </c>
      <c r="J128" s="3">
        <v>0</v>
      </c>
      <c r="K128" s="3" t="s">
        <v>788</v>
      </c>
      <c r="L128" t="s">
        <v>1071</v>
      </c>
      <c r="M128" t="s">
        <v>1072</v>
      </c>
      <c r="N128" t="s">
        <v>1073</v>
      </c>
      <c r="O128" t="s">
        <v>1074</v>
      </c>
      <c r="P128" t="s">
        <v>1075</v>
      </c>
      <c r="Q128" t="s">
        <v>1076</v>
      </c>
      <c r="R128" t="s">
        <v>1077</v>
      </c>
      <c r="S128" t="s">
        <v>1078</v>
      </c>
      <c r="T128" t="s">
        <v>1079</v>
      </c>
      <c r="U128" t="s">
        <v>1080</v>
      </c>
      <c r="V128" t="s">
        <v>1081</v>
      </c>
      <c r="W128" t="s">
        <v>1082</v>
      </c>
      <c r="X128">
        <v>20240630</v>
      </c>
      <c r="Y128" t="s">
        <v>1083</v>
      </c>
      <c r="Z128" t="s">
        <v>1084</v>
      </c>
      <c r="AA128" s="11" t="str">
        <f t="shared" si="1"/>
        <v>EXEC [dbo].[BalanceGeneralInsertar] @Nivel ='Auxiliar',@Transaccional ='Sí',@CodigoCuentaContable ='13551701', @NombreCuentaContable ='Impuesto a las ventas retenido 15%',@Identificacion ='901093584',@Sucursal ='',@NombreTercero ='VITTI S A S',@SaldoInicial = 1175923.92,@MovimientoDebito = 0,@MovimientoCredito =0,@SaldoFinal = 0,@Fecha ='20240630',@IdentificacionCliente = '901434038';</v>
      </c>
      <c r="AB128" t="s">
        <v>1085</v>
      </c>
    </row>
    <row r="129" spans="1:28" x14ac:dyDescent="0.25">
      <c r="A129" s="2" t="s">
        <v>28</v>
      </c>
      <c r="B129" s="2" t="s">
        <v>29</v>
      </c>
      <c r="C129" s="2" t="s">
        <v>180</v>
      </c>
      <c r="D129" s="2" t="s">
        <v>181</v>
      </c>
      <c r="E129" s="2" t="s">
        <v>103</v>
      </c>
      <c r="F129" s="2"/>
      <c r="G129" s="2" t="s">
        <v>104</v>
      </c>
      <c r="H129" s="3" t="s">
        <v>789</v>
      </c>
      <c r="I129" s="3">
        <v>0</v>
      </c>
      <c r="J129" s="3">
        <v>0</v>
      </c>
      <c r="K129" s="3" t="s">
        <v>789</v>
      </c>
      <c r="L129" t="s">
        <v>1071</v>
      </c>
      <c r="M129" t="s">
        <v>1072</v>
      </c>
      <c r="N129" t="s">
        <v>1073</v>
      </c>
      <c r="O129" t="s">
        <v>1074</v>
      </c>
      <c r="P129" t="s">
        <v>1075</v>
      </c>
      <c r="Q129" t="s">
        <v>1076</v>
      </c>
      <c r="R129" t="s">
        <v>1077</v>
      </c>
      <c r="S129" t="s">
        <v>1078</v>
      </c>
      <c r="T129" t="s">
        <v>1079</v>
      </c>
      <c r="U129" t="s">
        <v>1080</v>
      </c>
      <c r="V129" t="s">
        <v>1081</v>
      </c>
      <c r="W129" t="s">
        <v>1082</v>
      </c>
      <c r="X129">
        <v>20240630</v>
      </c>
      <c r="Y129" t="s">
        <v>1083</v>
      </c>
      <c r="Z129" t="s">
        <v>1084</v>
      </c>
      <c r="AA129" s="11" t="str">
        <f t="shared" si="1"/>
        <v>EXEC [dbo].[BalanceGeneralInsertar] @Nivel ='Auxiliar',@Transaccional ='Sí',@CodigoCuentaContable ='13551701', @NombreCuentaContable ='Impuesto a las ventas retenido 15%',@Identificacion ='900297847',@Sucursal ='',@NombreTercero ='CENTRO CONTRA EFECTOS DE LA EDAD S.A.S',@SaldoInicial = 2516027.88,@MovimientoDebito = 0,@MovimientoCredito =0,@SaldoFinal = 0,@Fecha ='20240630',@IdentificacionCliente = '901434038';</v>
      </c>
      <c r="AB129" t="s">
        <v>1085</v>
      </c>
    </row>
    <row r="130" spans="1:28" x14ac:dyDescent="0.25">
      <c r="A130" s="2" t="s">
        <v>28</v>
      </c>
      <c r="B130" s="2" t="s">
        <v>29</v>
      </c>
      <c r="C130" s="2" t="s">
        <v>180</v>
      </c>
      <c r="D130" s="2" t="s">
        <v>181</v>
      </c>
      <c r="E130" s="2" t="s">
        <v>105</v>
      </c>
      <c r="F130" s="2"/>
      <c r="G130" s="2" t="s">
        <v>106</v>
      </c>
      <c r="H130" s="3" t="s">
        <v>790</v>
      </c>
      <c r="I130" s="3">
        <v>0</v>
      </c>
      <c r="J130" s="3">
        <v>0</v>
      </c>
      <c r="K130" s="3" t="s">
        <v>790</v>
      </c>
      <c r="L130" t="s">
        <v>1071</v>
      </c>
      <c r="M130" t="s">
        <v>1072</v>
      </c>
      <c r="N130" t="s">
        <v>1073</v>
      </c>
      <c r="O130" t="s">
        <v>1074</v>
      </c>
      <c r="P130" t="s">
        <v>1075</v>
      </c>
      <c r="Q130" t="s">
        <v>1076</v>
      </c>
      <c r="R130" t="s">
        <v>1077</v>
      </c>
      <c r="S130" t="s">
        <v>1078</v>
      </c>
      <c r="T130" t="s">
        <v>1079</v>
      </c>
      <c r="U130" t="s">
        <v>1080</v>
      </c>
      <c r="V130" t="s">
        <v>1081</v>
      </c>
      <c r="W130" t="s">
        <v>1082</v>
      </c>
      <c r="X130">
        <v>20240630</v>
      </c>
      <c r="Y130" t="s">
        <v>1083</v>
      </c>
      <c r="Z130" t="s">
        <v>1084</v>
      </c>
      <c r="AA130" s="11" t="str">
        <f t="shared" si="1"/>
        <v>EXEC [dbo].[BalanceGeneralInsertar] @Nivel ='Auxiliar',@Transaccional ='Sí',@CodigoCuentaContable ='13551701', @NombreCuentaContable ='Impuesto a las ventas retenido 15%',@Identificacion ='901000155',@Sucursal ='',@NombreTercero ='DELUXE BY CRISTINA JARAMILLO S.A.S',@SaldoInicial = 1089736.08,@MovimientoDebito = 0,@MovimientoCredito =0,@SaldoFinal = 0,@Fecha ='20240630',@IdentificacionCliente = '901434038';</v>
      </c>
      <c r="AB130" t="s">
        <v>1085</v>
      </c>
    </row>
    <row r="131" spans="1:28" x14ac:dyDescent="0.25">
      <c r="A131" s="2" t="s">
        <v>28</v>
      </c>
      <c r="B131" s="2" t="s">
        <v>29</v>
      </c>
      <c r="C131" s="2" t="s">
        <v>180</v>
      </c>
      <c r="D131" s="2" t="s">
        <v>181</v>
      </c>
      <c r="E131" s="2" t="s">
        <v>89</v>
      </c>
      <c r="F131" s="2"/>
      <c r="G131" s="2" t="s">
        <v>90</v>
      </c>
      <c r="H131" s="3" t="s">
        <v>791</v>
      </c>
      <c r="I131" s="3" t="s">
        <v>792</v>
      </c>
      <c r="J131" s="3">
        <v>0</v>
      </c>
      <c r="K131" s="3" t="s">
        <v>793</v>
      </c>
      <c r="L131" t="s">
        <v>1071</v>
      </c>
      <c r="M131" t="s">
        <v>1072</v>
      </c>
      <c r="N131" t="s">
        <v>1073</v>
      </c>
      <c r="O131" t="s">
        <v>1074</v>
      </c>
      <c r="P131" t="s">
        <v>1075</v>
      </c>
      <c r="Q131" t="s">
        <v>1076</v>
      </c>
      <c r="R131" t="s">
        <v>1077</v>
      </c>
      <c r="S131" t="s">
        <v>1078</v>
      </c>
      <c r="T131" t="s">
        <v>1079</v>
      </c>
      <c r="U131" t="s">
        <v>1080</v>
      </c>
      <c r="V131" t="s">
        <v>1081</v>
      </c>
      <c r="W131" t="s">
        <v>1082</v>
      </c>
      <c r="X131">
        <v>20240630</v>
      </c>
      <c r="Y131" t="s">
        <v>1083</v>
      </c>
      <c r="Z131" t="s">
        <v>1084</v>
      </c>
      <c r="AA131" s="11" t="str">
        <f t="shared" si="1"/>
        <v>EXEC [dbo].[BalanceGeneralInsertar] @Nivel ='Auxiliar',@Transaccional ='Sí',@CodigoCuentaContable ='13551701', @NombreCuentaContable ='Impuesto a las ventas retenido 15%',@Identificacion ='900192072',@Sucursal ='',@NombreTercero ='SEOUL MEDICINA ESTETICA INTEGRAL Y SPA S.A.',@SaldoInicial = 3536153.95,@MovimientoDebito = 191596.64,@MovimientoCredito =0,@SaldoFinal = 0,@Fecha ='20240630',@IdentificacionCliente = '901434038';</v>
      </c>
      <c r="AB131" t="s">
        <v>1085</v>
      </c>
    </row>
    <row r="132" spans="1:28" x14ac:dyDescent="0.25">
      <c r="A132" s="2" t="s">
        <v>28</v>
      </c>
      <c r="B132" s="2" t="s">
        <v>29</v>
      </c>
      <c r="C132" s="2" t="s">
        <v>180</v>
      </c>
      <c r="D132" s="2" t="s">
        <v>181</v>
      </c>
      <c r="E132" s="2" t="s">
        <v>139</v>
      </c>
      <c r="F132" s="2"/>
      <c r="G132" s="2" t="s">
        <v>140</v>
      </c>
      <c r="H132" s="3" t="s">
        <v>794</v>
      </c>
      <c r="I132" s="3" t="s">
        <v>795</v>
      </c>
      <c r="J132" s="3">
        <v>0</v>
      </c>
      <c r="K132" s="3" t="s">
        <v>796</v>
      </c>
      <c r="L132" t="s">
        <v>1071</v>
      </c>
      <c r="M132" t="s">
        <v>1072</v>
      </c>
      <c r="N132" t="s">
        <v>1073</v>
      </c>
      <c r="O132" t="s">
        <v>1074</v>
      </c>
      <c r="P132" t="s">
        <v>1075</v>
      </c>
      <c r="Q132" t="s">
        <v>1076</v>
      </c>
      <c r="R132" t="s">
        <v>1077</v>
      </c>
      <c r="S132" t="s">
        <v>1078</v>
      </c>
      <c r="T132" t="s">
        <v>1079</v>
      </c>
      <c r="U132" t="s">
        <v>1080</v>
      </c>
      <c r="V132" t="s">
        <v>1081</v>
      </c>
      <c r="W132" t="s">
        <v>1082</v>
      </c>
      <c r="X132">
        <v>20240630</v>
      </c>
      <c r="Y132" t="s">
        <v>1083</v>
      </c>
      <c r="Z132" t="s">
        <v>1084</v>
      </c>
      <c r="AA132" s="11" t="str">
        <f t="shared" si="1"/>
        <v>EXEC [dbo].[BalanceGeneralInsertar] @Nivel ='Auxiliar',@Transaccional ='Sí',@CodigoCuentaContable ='13551701', @NombreCuentaContable ='Impuesto a las ventas retenido 15%',@Identificacion ='900347399',@Sucursal ='',@NombreTercero ='EXPORT HEALTH SAS',@SaldoInicial = 3606004.25,@MovimientoDebito = 231206.25,@MovimientoCredito =0,@SaldoFinal = 0,@Fecha ='20240630',@IdentificacionCliente = '901434038';</v>
      </c>
      <c r="AB132" t="s">
        <v>1085</v>
      </c>
    </row>
    <row r="133" spans="1:28" x14ac:dyDescent="0.25">
      <c r="A133" s="2" t="s">
        <v>28</v>
      </c>
      <c r="B133" s="2" t="s">
        <v>29</v>
      </c>
      <c r="C133" s="2" t="s">
        <v>180</v>
      </c>
      <c r="D133" s="2" t="s">
        <v>181</v>
      </c>
      <c r="E133" s="2" t="s">
        <v>73</v>
      </c>
      <c r="F133" s="2"/>
      <c r="G133" s="2" t="s">
        <v>74</v>
      </c>
      <c r="H133" s="3" t="s">
        <v>797</v>
      </c>
      <c r="I133" s="3">
        <v>542551</v>
      </c>
      <c r="J133" s="3">
        <v>0</v>
      </c>
      <c r="K133" s="3" t="s">
        <v>798</v>
      </c>
      <c r="L133" t="s">
        <v>1071</v>
      </c>
      <c r="M133" t="s">
        <v>1072</v>
      </c>
      <c r="N133" t="s">
        <v>1073</v>
      </c>
      <c r="O133" t="s">
        <v>1074</v>
      </c>
      <c r="P133" t="s">
        <v>1075</v>
      </c>
      <c r="Q133" t="s">
        <v>1076</v>
      </c>
      <c r="R133" t="s">
        <v>1077</v>
      </c>
      <c r="S133" t="s">
        <v>1078</v>
      </c>
      <c r="T133" t="s">
        <v>1079</v>
      </c>
      <c r="U133" t="s">
        <v>1080</v>
      </c>
      <c r="V133" t="s">
        <v>1081</v>
      </c>
      <c r="W133" t="s">
        <v>1082</v>
      </c>
      <c r="X133">
        <v>20240630</v>
      </c>
      <c r="Y133" t="s">
        <v>1083</v>
      </c>
      <c r="Z133" t="s">
        <v>1084</v>
      </c>
      <c r="AA133" s="11" t="str">
        <f t="shared" si="1"/>
        <v>EXEC [dbo].[BalanceGeneralInsertar] @Nivel ='Auxiliar',@Transaccional ='Sí',@CodigoCuentaContable ='13551701', @NombreCuentaContable ='Impuesto a las ventas retenido 15%',@Identificacion ='901020041',@Sucursal ='',@NombreTercero ='BENESSERE S.A.S',@SaldoInicial = 2587078.09,@MovimientoDebito = 542551,@MovimientoCredito =0,@SaldoFinal = 0,@Fecha ='20240630',@IdentificacionCliente = '901434038';</v>
      </c>
      <c r="AB133" t="s">
        <v>1085</v>
      </c>
    </row>
    <row r="134" spans="1:28" x14ac:dyDescent="0.25">
      <c r="A134" s="2" t="s">
        <v>28</v>
      </c>
      <c r="B134" s="2" t="s">
        <v>29</v>
      </c>
      <c r="C134" s="2" t="s">
        <v>180</v>
      </c>
      <c r="D134" s="2" t="s">
        <v>181</v>
      </c>
      <c r="E134" s="2" t="s">
        <v>51</v>
      </c>
      <c r="F134" s="2"/>
      <c r="G134" s="2" t="s">
        <v>52</v>
      </c>
      <c r="H134" s="3" t="s">
        <v>799</v>
      </c>
      <c r="I134" s="3" t="s">
        <v>800</v>
      </c>
      <c r="J134" s="3">
        <v>0</v>
      </c>
      <c r="K134" s="3" t="s">
        <v>801</v>
      </c>
      <c r="L134" t="s">
        <v>1071</v>
      </c>
      <c r="M134" t="s">
        <v>1072</v>
      </c>
      <c r="N134" t="s">
        <v>1073</v>
      </c>
      <c r="O134" t="s">
        <v>1074</v>
      </c>
      <c r="P134" t="s">
        <v>1075</v>
      </c>
      <c r="Q134" t="s">
        <v>1076</v>
      </c>
      <c r="R134" t="s">
        <v>1077</v>
      </c>
      <c r="S134" t="s">
        <v>1078</v>
      </c>
      <c r="T134" t="s">
        <v>1079</v>
      </c>
      <c r="U134" t="s">
        <v>1080</v>
      </c>
      <c r="V134" t="s">
        <v>1081</v>
      </c>
      <c r="W134" t="s">
        <v>1082</v>
      </c>
      <c r="X134">
        <v>20240630</v>
      </c>
      <c r="Y134" t="s">
        <v>1083</v>
      </c>
      <c r="Z134" t="s">
        <v>1084</v>
      </c>
      <c r="AA134" s="11" t="str">
        <f t="shared" si="1"/>
        <v>EXEC [dbo].[BalanceGeneralInsertar] @Nivel ='Auxiliar',@Transaccional ='Sí',@CodigoCuentaContable ='13551701', @NombreCuentaContable ='Impuesto a las ventas retenido 15%',@Identificacion ='901733873',@Sucursal ='',@NombreTercero ='AV SALUD INTEGRAL SAS',@SaldoInicial = 2125525.4,@MovimientoDebito = 156337.55,@MovimientoCredito =0,@SaldoFinal = 0,@Fecha ='20240630',@IdentificacionCliente = '901434038';</v>
      </c>
      <c r="AB134" t="s">
        <v>1085</v>
      </c>
    </row>
    <row r="135" spans="1:28" x14ac:dyDescent="0.25">
      <c r="A135" s="2" t="s">
        <v>28</v>
      </c>
      <c r="B135" s="2" t="s">
        <v>29</v>
      </c>
      <c r="C135" s="2" t="s">
        <v>180</v>
      </c>
      <c r="D135" s="2" t="s">
        <v>181</v>
      </c>
      <c r="E135" s="2" t="s">
        <v>53</v>
      </c>
      <c r="F135" s="2"/>
      <c r="G135" s="2" t="s">
        <v>54</v>
      </c>
      <c r="H135" s="3">
        <v>22500</v>
      </c>
      <c r="I135" s="3">
        <v>0</v>
      </c>
      <c r="J135" s="3">
        <v>0</v>
      </c>
      <c r="K135" s="3">
        <v>22500</v>
      </c>
      <c r="L135" t="s">
        <v>1071</v>
      </c>
      <c r="M135" t="s">
        <v>1072</v>
      </c>
      <c r="N135" t="s">
        <v>1073</v>
      </c>
      <c r="O135" t="s">
        <v>1074</v>
      </c>
      <c r="P135" t="s">
        <v>1075</v>
      </c>
      <c r="Q135" t="s">
        <v>1076</v>
      </c>
      <c r="R135" t="s">
        <v>1077</v>
      </c>
      <c r="S135" t="s">
        <v>1078</v>
      </c>
      <c r="T135" t="s">
        <v>1079</v>
      </c>
      <c r="U135" t="s">
        <v>1080</v>
      </c>
      <c r="V135" t="s">
        <v>1081</v>
      </c>
      <c r="W135" t="s">
        <v>1082</v>
      </c>
      <c r="X135">
        <v>20240630</v>
      </c>
      <c r="Y135" t="s">
        <v>1083</v>
      </c>
      <c r="Z135" t="s">
        <v>1084</v>
      </c>
      <c r="AA135" s="11" t="str">
        <f t="shared" si="1"/>
        <v>EXEC [dbo].[BalanceGeneralInsertar] @Nivel ='Auxiliar',@Transaccional ='Sí',@CodigoCuentaContable ='13551701', @NombreCuentaContable ='Impuesto a las ventas retenido 15%',@Identificacion ='901115633',@Sucursal ='',@NombreTercero ='CAROLINA MARTINEZ SAS',@SaldoInicial = 22500,@MovimientoDebito = 0,@MovimientoCredito =0,@SaldoFinal = 0,@Fecha ='20240630',@IdentificacionCliente = '901434038';</v>
      </c>
      <c r="AB135" t="s">
        <v>1085</v>
      </c>
    </row>
    <row r="136" spans="1:28" x14ac:dyDescent="0.25">
      <c r="A136" s="2" t="s">
        <v>28</v>
      </c>
      <c r="B136" s="2" t="s">
        <v>29</v>
      </c>
      <c r="C136" s="2" t="s">
        <v>180</v>
      </c>
      <c r="D136" s="2" t="s">
        <v>181</v>
      </c>
      <c r="E136" s="2" t="s">
        <v>57</v>
      </c>
      <c r="F136" s="2"/>
      <c r="G136" s="2" t="s">
        <v>58</v>
      </c>
      <c r="H136" s="3" t="s">
        <v>802</v>
      </c>
      <c r="I136" s="3" t="s">
        <v>803</v>
      </c>
      <c r="J136" s="3">
        <v>0</v>
      </c>
      <c r="K136" s="3" t="s">
        <v>804</v>
      </c>
      <c r="L136" t="s">
        <v>1071</v>
      </c>
      <c r="M136" t="s">
        <v>1072</v>
      </c>
      <c r="N136" t="s">
        <v>1073</v>
      </c>
      <c r="O136" t="s">
        <v>1074</v>
      </c>
      <c r="P136" t="s">
        <v>1075</v>
      </c>
      <c r="Q136" t="s">
        <v>1076</v>
      </c>
      <c r="R136" t="s">
        <v>1077</v>
      </c>
      <c r="S136" t="s">
        <v>1078</v>
      </c>
      <c r="T136" t="s">
        <v>1079</v>
      </c>
      <c r="U136" t="s">
        <v>1080</v>
      </c>
      <c r="V136" t="s">
        <v>1081</v>
      </c>
      <c r="W136" t="s">
        <v>1082</v>
      </c>
      <c r="X136">
        <v>20240630</v>
      </c>
      <c r="Y136" t="s">
        <v>1083</v>
      </c>
      <c r="Z136" t="s">
        <v>1084</v>
      </c>
      <c r="AA136" s="11" t="str">
        <f t="shared" si="1"/>
        <v>EXEC [dbo].[BalanceGeneralInsertar] @Nivel ='Auxiliar',@Transaccional ='Sí',@CodigoCuentaContable ='13551701', @NombreCuentaContable ='Impuesto a las ventas retenido 15%',@Identificacion ='901745690',@Sucursal ='',@NombreTercero ='JOHANNA DAZA MEDICINA ANTIENVEJECIMIENTO S.A.S.',@SaldoInicial = 1529254.55,@MovimientoDebito = 177226.88,@MovimientoCredito =0,@SaldoFinal = 0,@Fecha ='20240630',@IdentificacionCliente = '901434038';</v>
      </c>
      <c r="AB136" t="s">
        <v>1085</v>
      </c>
    </row>
    <row r="137" spans="1:28" x14ac:dyDescent="0.25">
      <c r="A137" s="2" t="s">
        <v>28</v>
      </c>
      <c r="B137" s="2" t="s">
        <v>29</v>
      </c>
      <c r="C137" s="2" t="s">
        <v>180</v>
      </c>
      <c r="D137" s="2" t="s">
        <v>181</v>
      </c>
      <c r="E137" s="2" t="s">
        <v>79</v>
      </c>
      <c r="F137" s="2"/>
      <c r="G137" s="2" t="s">
        <v>80</v>
      </c>
      <c r="H137" s="3" t="s">
        <v>805</v>
      </c>
      <c r="I137" s="3" t="s">
        <v>806</v>
      </c>
      <c r="J137" s="3">
        <v>0</v>
      </c>
      <c r="K137" s="3" t="s">
        <v>807</v>
      </c>
      <c r="L137" t="s">
        <v>1071</v>
      </c>
      <c r="M137" t="s">
        <v>1072</v>
      </c>
      <c r="N137" t="s">
        <v>1073</v>
      </c>
      <c r="O137" t="s">
        <v>1074</v>
      </c>
      <c r="P137" t="s">
        <v>1075</v>
      </c>
      <c r="Q137" t="s">
        <v>1076</v>
      </c>
      <c r="R137" t="s">
        <v>1077</v>
      </c>
      <c r="S137" t="s">
        <v>1078</v>
      </c>
      <c r="T137" t="s">
        <v>1079</v>
      </c>
      <c r="U137" t="s">
        <v>1080</v>
      </c>
      <c r="V137" t="s">
        <v>1081</v>
      </c>
      <c r="W137" t="s">
        <v>1082</v>
      </c>
      <c r="X137">
        <v>20240630</v>
      </c>
      <c r="Y137" t="s">
        <v>1083</v>
      </c>
      <c r="Z137" t="s">
        <v>1084</v>
      </c>
      <c r="AA137" s="11" t="str">
        <f t="shared" si="1"/>
        <v>EXEC [dbo].[BalanceGeneralInsertar] @Nivel ='Auxiliar',@Transaccional ='Sí',@CodigoCuentaContable ='13551701', @NombreCuentaContable ='Impuesto a las ventas retenido 15%',@Identificacion ='901456421',@Sucursal ='',@NombreTercero ='DELUXE ORIENTE S.A.S',@SaldoInicial = 601134.46,@MovimientoDebito = 349499.35,@MovimientoCredito =0,@SaldoFinal = 0,@Fecha ='20240630',@IdentificacionCliente = '901434038';</v>
      </c>
      <c r="AB137" t="s">
        <v>1085</v>
      </c>
    </row>
    <row r="138" spans="1:28" x14ac:dyDescent="0.25">
      <c r="A138" s="2" t="s">
        <v>28</v>
      </c>
      <c r="B138" s="2" t="s">
        <v>29</v>
      </c>
      <c r="C138" s="2" t="s">
        <v>180</v>
      </c>
      <c r="D138" s="2" t="s">
        <v>181</v>
      </c>
      <c r="E138" s="2" t="s">
        <v>141</v>
      </c>
      <c r="F138" s="2"/>
      <c r="G138" s="2" t="s">
        <v>142</v>
      </c>
      <c r="H138" s="3" t="s">
        <v>808</v>
      </c>
      <c r="I138" s="3" t="s">
        <v>809</v>
      </c>
      <c r="J138" s="3">
        <v>0</v>
      </c>
      <c r="K138" s="3">
        <v>5524606</v>
      </c>
      <c r="L138" t="s">
        <v>1071</v>
      </c>
      <c r="M138" t="s">
        <v>1072</v>
      </c>
      <c r="N138" t="s">
        <v>1073</v>
      </c>
      <c r="O138" t="s">
        <v>1074</v>
      </c>
      <c r="P138" t="s">
        <v>1075</v>
      </c>
      <c r="Q138" t="s">
        <v>1076</v>
      </c>
      <c r="R138" t="s">
        <v>1077</v>
      </c>
      <c r="S138" t="s">
        <v>1078</v>
      </c>
      <c r="T138" t="s">
        <v>1079</v>
      </c>
      <c r="U138" t="s">
        <v>1080</v>
      </c>
      <c r="V138" t="s">
        <v>1081</v>
      </c>
      <c r="W138" t="s">
        <v>1082</v>
      </c>
      <c r="X138">
        <v>20240630</v>
      </c>
      <c r="Y138" t="s">
        <v>1083</v>
      </c>
      <c r="Z138" t="s">
        <v>1084</v>
      </c>
      <c r="AA138" s="11" t="str">
        <f t="shared" ref="AA138:AA201" si="2">_xlfn.CONCAT(L138,Y138,A138,Y138,Z138,M138,Y138,B138,Y138,Z138,N138,Y138,C138,Y138,Z138,AB138,Y138,D138,Y138,Z138,O138,Y138,E138,Y138,Z138,P138,Y138,F138,Y138,Z138,Q138,Y138,G138,Y138,Z138,R138,H138,Z138,S138,I138,Z138,T138,J138,Z138,U138,J138,Z138,V138,Y138,X138,Y138,Z138,W138,Y138,"901434038",Y138,";")</f>
        <v>EXEC [dbo].[BalanceGeneralInsertar] @Nivel ='Auxiliar',@Transaccional ='Sí',@CodigoCuentaContable ='13551701', @NombreCuentaContable ='Impuesto a las ventas retenido 15%',@Identificacion ='901451874',@Sucursal ='',@NombreTercero ='CABARCAS GROUP S.A.S.',@SaldoInicial = 5303240.03,@MovimientoDebito = 221365.97,@MovimientoCredito =0,@SaldoFinal = 0,@Fecha ='20240630',@IdentificacionCliente = '901434038';</v>
      </c>
      <c r="AB138" t="s">
        <v>1085</v>
      </c>
    </row>
    <row r="139" spans="1:28" x14ac:dyDescent="0.25">
      <c r="A139" s="2" t="s">
        <v>28</v>
      </c>
      <c r="B139" s="2" t="s">
        <v>29</v>
      </c>
      <c r="C139" s="2" t="s">
        <v>180</v>
      </c>
      <c r="D139" s="2" t="s">
        <v>181</v>
      </c>
      <c r="E139" s="2" t="s">
        <v>83</v>
      </c>
      <c r="F139" s="2"/>
      <c r="G139" s="2" t="s">
        <v>84</v>
      </c>
      <c r="H139" s="3" t="s">
        <v>810</v>
      </c>
      <c r="I139" s="3">
        <v>0</v>
      </c>
      <c r="J139" s="3">
        <v>0</v>
      </c>
      <c r="K139" s="3" t="s">
        <v>810</v>
      </c>
      <c r="L139" t="s">
        <v>1071</v>
      </c>
      <c r="M139" t="s">
        <v>1072</v>
      </c>
      <c r="N139" t="s">
        <v>1073</v>
      </c>
      <c r="O139" t="s">
        <v>1074</v>
      </c>
      <c r="P139" t="s">
        <v>1075</v>
      </c>
      <c r="Q139" t="s">
        <v>1076</v>
      </c>
      <c r="R139" t="s">
        <v>1077</v>
      </c>
      <c r="S139" t="s">
        <v>1078</v>
      </c>
      <c r="T139" t="s">
        <v>1079</v>
      </c>
      <c r="U139" t="s">
        <v>1080</v>
      </c>
      <c r="V139" t="s">
        <v>1081</v>
      </c>
      <c r="W139" t="s">
        <v>1082</v>
      </c>
      <c r="X139">
        <v>20240630</v>
      </c>
      <c r="Y139" t="s">
        <v>1083</v>
      </c>
      <c r="Z139" t="s">
        <v>1084</v>
      </c>
      <c r="AA139" s="11" t="str">
        <f t="shared" si="2"/>
        <v>EXEC [dbo].[BalanceGeneralInsertar] @Nivel ='Auxiliar',@Transaccional ='Sí',@CodigoCuentaContable ='13551701', @NombreCuentaContable ='Impuesto a las ventas retenido 15%',@Identificacion ='830081040',@Sucursal ='',@NombreTercero ='INSTITUTO DE ESTETICA MEDICA DE COLOMBIA LTDA.',@SaldoInicial = 1389249.37,@MovimientoDebito = 0,@MovimientoCredito =0,@SaldoFinal = 0,@Fecha ='20240630',@IdentificacionCliente = '901434038';</v>
      </c>
      <c r="AB139" t="s">
        <v>1085</v>
      </c>
    </row>
    <row r="140" spans="1:28" x14ac:dyDescent="0.25">
      <c r="A140" s="2" t="s">
        <v>28</v>
      </c>
      <c r="B140" s="2" t="s">
        <v>29</v>
      </c>
      <c r="C140" s="2" t="s">
        <v>180</v>
      </c>
      <c r="D140" s="2" t="s">
        <v>181</v>
      </c>
      <c r="E140" s="2" t="s">
        <v>85</v>
      </c>
      <c r="F140" s="2"/>
      <c r="G140" s="2" t="s">
        <v>86</v>
      </c>
      <c r="H140" s="3" t="s">
        <v>811</v>
      </c>
      <c r="I140" s="3" t="s">
        <v>812</v>
      </c>
      <c r="J140" s="3">
        <v>0</v>
      </c>
      <c r="K140" s="3" t="s">
        <v>813</v>
      </c>
      <c r="L140" t="s">
        <v>1071</v>
      </c>
      <c r="M140" t="s">
        <v>1072</v>
      </c>
      <c r="N140" t="s">
        <v>1073</v>
      </c>
      <c r="O140" t="s">
        <v>1074</v>
      </c>
      <c r="P140" t="s">
        <v>1075</v>
      </c>
      <c r="Q140" t="s">
        <v>1076</v>
      </c>
      <c r="R140" t="s">
        <v>1077</v>
      </c>
      <c r="S140" t="s">
        <v>1078</v>
      </c>
      <c r="T140" t="s">
        <v>1079</v>
      </c>
      <c r="U140" t="s">
        <v>1080</v>
      </c>
      <c r="V140" t="s">
        <v>1081</v>
      </c>
      <c r="W140" t="s">
        <v>1082</v>
      </c>
      <c r="X140">
        <v>20240630</v>
      </c>
      <c r="Y140" t="s">
        <v>1083</v>
      </c>
      <c r="Z140" t="s">
        <v>1084</v>
      </c>
      <c r="AA140" s="11" t="str">
        <f t="shared" si="2"/>
        <v>EXEC [dbo].[BalanceGeneralInsertar] @Nivel ='Auxiliar',@Transaccional ='Sí',@CodigoCuentaContable ='13551701', @NombreCuentaContable ='Impuesto a las ventas retenido 15%',@Identificacion ='901476016',@Sucursal ='',@NombreTercero ='ALESTETIC RIONEGRO S.A.S',@SaldoInicial = 3742242.63,@MovimientoDebito = 193632.96,@MovimientoCredito =0,@SaldoFinal = 0,@Fecha ='20240630',@IdentificacionCliente = '901434038';</v>
      </c>
      <c r="AB140" t="s">
        <v>1085</v>
      </c>
    </row>
    <row r="141" spans="1:28" x14ac:dyDescent="0.25">
      <c r="A141" s="2" t="s">
        <v>28</v>
      </c>
      <c r="B141" s="2" t="s">
        <v>29</v>
      </c>
      <c r="C141" s="2" t="s">
        <v>180</v>
      </c>
      <c r="D141" s="2" t="s">
        <v>181</v>
      </c>
      <c r="E141" s="2" t="s">
        <v>67</v>
      </c>
      <c r="F141" s="2"/>
      <c r="G141" s="2" t="s">
        <v>68</v>
      </c>
      <c r="H141" s="3" t="s">
        <v>814</v>
      </c>
      <c r="I141" s="3" t="s">
        <v>815</v>
      </c>
      <c r="J141" s="3">
        <v>0</v>
      </c>
      <c r="K141" s="3" t="s">
        <v>816</v>
      </c>
      <c r="L141" t="s">
        <v>1071</v>
      </c>
      <c r="M141" t="s">
        <v>1072</v>
      </c>
      <c r="N141" t="s">
        <v>1073</v>
      </c>
      <c r="O141" t="s">
        <v>1074</v>
      </c>
      <c r="P141" t="s">
        <v>1075</v>
      </c>
      <c r="Q141" t="s">
        <v>1076</v>
      </c>
      <c r="R141" t="s">
        <v>1077</v>
      </c>
      <c r="S141" t="s">
        <v>1078</v>
      </c>
      <c r="T141" t="s">
        <v>1079</v>
      </c>
      <c r="U141" t="s">
        <v>1080</v>
      </c>
      <c r="V141" t="s">
        <v>1081</v>
      </c>
      <c r="W141" t="s">
        <v>1082</v>
      </c>
      <c r="X141">
        <v>20240630</v>
      </c>
      <c r="Y141" t="s">
        <v>1083</v>
      </c>
      <c r="Z141" t="s">
        <v>1084</v>
      </c>
      <c r="AA141" s="11" t="str">
        <f t="shared" si="2"/>
        <v>EXEC [dbo].[BalanceGeneralInsertar] @Nivel ='Auxiliar',@Transaccional ='Sí',@CodigoCuentaContable ='13551701', @NombreCuentaContable ='Impuesto a las ventas retenido 15%',@Identificacion ='805020770',@Sucursal ='',@NombreTercero ='EUTOESTETICA SAS',@SaldoInicial = 1514811.1,@MovimientoDebito = 133518.91,@MovimientoCredito =0,@SaldoFinal = 0,@Fecha ='20240630',@IdentificacionCliente = '901434038';</v>
      </c>
      <c r="AB141" t="s">
        <v>1085</v>
      </c>
    </row>
    <row r="142" spans="1:28" x14ac:dyDescent="0.25">
      <c r="A142" s="2" t="s">
        <v>28</v>
      </c>
      <c r="B142" s="2" t="s">
        <v>29</v>
      </c>
      <c r="C142" s="2" t="s">
        <v>180</v>
      </c>
      <c r="D142" s="2" t="s">
        <v>181</v>
      </c>
      <c r="E142" s="2" t="s">
        <v>71</v>
      </c>
      <c r="F142" s="2"/>
      <c r="G142" s="2" t="s">
        <v>72</v>
      </c>
      <c r="H142" s="3" t="s">
        <v>817</v>
      </c>
      <c r="I142" s="3" t="s">
        <v>818</v>
      </c>
      <c r="J142" s="3">
        <v>0</v>
      </c>
      <c r="K142" s="3" t="s">
        <v>819</v>
      </c>
      <c r="L142" t="s">
        <v>1071</v>
      </c>
      <c r="M142" t="s">
        <v>1072</v>
      </c>
      <c r="N142" t="s">
        <v>1073</v>
      </c>
      <c r="O142" t="s">
        <v>1074</v>
      </c>
      <c r="P142" t="s">
        <v>1075</v>
      </c>
      <c r="Q142" t="s">
        <v>1076</v>
      </c>
      <c r="R142" t="s">
        <v>1077</v>
      </c>
      <c r="S142" t="s">
        <v>1078</v>
      </c>
      <c r="T142" t="s">
        <v>1079</v>
      </c>
      <c r="U142" t="s">
        <v>1080</v>
      </c>
      <c r="V142" t="s">
        <v>1081</v>
      </c>
      <c r="W142" t="s">
        <v>1082</v>
      </c>
      <c r="X142">
        <v>20240630</v>
      </c>
      <c r="Y142" t="s">
        <v>1083</v>
      </c>
      <c r="Z142" t="s">
        <v>1084</v>
      </c>
      <c r="AA142" s="11" t="str">
        <f t="shared" si="2"/>
        <v>EXEC [dbo].[BalanceGeneralInsertar] @Nivel ='Auxiliar',@Transaccional ='Sí',@CodigoCuentaContable ='13551701', @NombreCuentaContable ='Impuesto a las ventas retenido 15%',@Identificacion ='901477526',@Sucursal ='',@NombreTercero ='SABANA MEDICAL SPA SAS',@SaldoInicial = 2831701.9,@MovimientoDebito = 315959.81,@MovimientoCredito =0,@SaldoFinal = 0,@Fecha ='20240630',@IdentificacionCliente = '901434038';</v>
      </c>
      <c r="AB142" t="s">
        <v>1085</v>
      </c>
    </row>
    <row r="143" spans="1:28" x14ac:dyDescent="0.25">
      <c r="A143" s="2" t="s">
        <v>28</v>
      </c>
      <c r="B143" s="2" t="s">
        <v>29</v>
      </c>
      <c r="C143" s="2" t="s">
        <v>182</v>
      </c>
      <c r="D143" s="2" t="s">
        <v>183</v>
      </c>
      <c r="E143" s="2" t="s">
        <v>39</v>
      </c>
      <c r="F143" s="2"/>
      <c r="G143" s="2" t="s">
        <v>40</v>
      </c>
      <c r="H143" s="3" t="s">
        <v>820</v>
      </c>
      <c r="I143" s="3">
        <v>0</v>
      </c>
      <c r="J143" s="3">
        <v>0</v>
      </c>
      <c r="K143" s="3" t="s">
        <v>820</v>
      </c>
      <c r="L143" t="s">
        <v>1071</v>
      </c>
      <c r="M143" t="s">
        <v>1072</v>
      </c>
      <c r="N143" t="s">
        <v>1073</v>
      </c>
      <c r="O143" t="s">
        <v>1074</v>
      </c>
      <c r="P143" t="s">
        <v>1075</v>
      </c>
      <c r="Q143" t="s">
        <v>1076</v>
      </c>
      <c r="R143" t="s">
        <v>1077</v>
      </c>
      <c r="S143" t="s">
        <v>1078</v>
      </c>
      <c r="T143" t="s">
        <v>1079</v>
      </c>
      <c r="U143" t="s">
        <v>1080</v>
      </c>
      <c r="V143" t="s">
        <v>1081</v>
      </c>
      <c r="W143" t="s">
        <v>1082</v>
      </c>
      <c r="X143">
        <v>20240630</v>
      </c>
      <c r="Y143" t="s">
        <v>1083</v>
      </c>
      <c r="Z143" t="s">
        <v>1084</v>
      </c>
      <c r="AA143" s="11" t="str">
        <f t="shared" si="2"/>
        <v>EXEC [dbo].[BalanceGeneralInsertar] @Nivel ='Auxiliar',@Transaccional ='Sí',@CodigoCuentaContable ='13551702', @NombreCuentaContable ='Devolución impuesto a las ventas retenido 15%',@Identificacion ='800197268',@Sucursal ='',@NombreTercero ='DIAN',@SaldoInicial = 2220174.19,@MovimientoDebito = 0,@MovimientoCredito =0,@SaldoFinal = 0,@Fecha ='20240630',@IdentificacionCliente = '901434038';</v>
      </c>
      <c r="AB143" t="s">
        <v>1085</v>
      </c>
    </row>
    <row r="144" spans="1:28" x14ac:dyDescent="0.25">
      <c r="A144" s="2" t="s">
        <v>28</v>
      </c>
      <c r="B144" s="2" t="s">
        <v>29</v>
      </c>
      <c r="C144" s="2" t="s">
        <v>182</v>
      </c>
      <c r="D144" s="2" t="s">
        <v>183</v>
      </c>
      <c r="E144" s="2" t="s">
        <v>89</v>
      </c>
      <c r="F144" s="2"/>
      <c r="G144" s="2" t="s">
        <v>90</v>
      </c>
      <c r="H144" s="3" t="s">
        <v>821</v>
      </c>
      <c r="I144" s="3">
        <v>0</v>
      </c>
      <c r="J144" s="3">
        <v>0</v>
      </c>
      <c r="K144" s="3" t="s">
        <v>821</v>
      </c>
      <c r="L144" t="s">
        <v>1071</v>
      </c>
      <c r="M144" t="s">
        <v>1072</v>
      </c>
      <c r="N144" t="s">
        <v>1073</v>
      </c>
      <c r="O144" t="s">
        <v>1074</v>
      </c>
      <c r="P144" t="s">
        <v>1075</v>
      </c>
      <c r="Q144" t="s">
        <v>1076</v>
      </c>
      <c r="R144" t="s">
        <v>1077</v>
      </c>
      <c r="S144" t="s">
        <v>1078</v>
      </c>
      <c r="T144" t="s">
        <v>1079</v>
      </c>
      <c r="U144" t="s">
        <v>1080</v>
      </c>
      <c r="V144" t="s">
        <v>1081</v>
      </c>
      <c r="W144" t="s">
        <v>1082</v>
      </c>
      <c r="X144">
        <v>20240630</v>
      </c>
      <c r="Y144" t="s">
        <v>1083</v>
      </c>
      <c r="Z144" t="s">
        <v>1084</v>
      </c>
      <c r="AA144" s="11" t="str">
        <f t="shared" si="2"/>
        <v>EXEC [dbo].[BalanceGeneralInsertar] @Nivel ='Auxiliar',@Transaccional ='Sí',@CodigoCuentaContable ='13551702', @NombreCuentaContable ='Devolución impuesto a las ventas retenido 15%',@Identificacion ='900192072',@Sucursal ='',@NombreTercero ='SEOUL MEDICINA ESTETICA INTEGRAL Y SPA S.A.',@SaldoInicial = -766386.56,@MovimientoDebito = 0,@MovimientoCredito =0,@SaldoFinal = 0,@Fecha ='20240630',@IdentificacionCliente = '901434038';</v>
      </c>
      <c r="AB144" t="s">
        <v>1085</v>
      </c>
    </row>
    <row r="145" spans="1:28" x14ac:dyDescent="0.25">
      <c r="A145" s="2" t="s">
        <v>28</v>
      </c>
      <c r="B145" s="2" t="s">
        <v>29</v>
      </c>
      <c r="C145" s="2" t="s">
        <v>182</v>
      </c>
      <c r="D145" s="2" t="s">
        <v>183</v>
      </c>
      <c r="E145" s="2" t="s">
        <v>139</v>
      </c>
      <c r="F145" s="2"/>
      <c r="G145" s="2" t="s">
        <v>140</v>
      </c>
      <c r="H145" s="3" t="s">
        <v>822</v>
      </c>
      <c r="I145" s="3">
        <v>0</v>
      </c>
      <c r="J145" s="3">
        <v>0</v>
      </c>
      <c r="K145" s="3" t="s">
        <v>822</v>
      </c>
      <c r="L145" t="s">
        <v>1071</v>
      </c>
      <c r="M145" t="s">
        <v>1072</v>
      </c>
      <c r="N145" t="s">
        <v>1073</v>
      </c>
      <c r="O145" t="s">
        <v>1074</v>
      </c>
      <c r="P145" t="s">
        <v>1075</v>
      </c>
      <c r="Q145" t="s">
        <v>1076</v>
      </c>
      <c r="R145" t="s">
        <v>1077</v>
      </c>
      <c r="S145" t="s">
        <v>1078</v>
      </c>
      <c r="T145" t="s">
        <v>1079</v>
      </c>
      <c r="U145" t="s">
        <v>1080</v>
      </c>
      <c r="V145" t="s">
        <v>1081</v>
      </c>
      <c r="W145" t="s">
        <v>1082</v>
      </c>
      <c r="X145">
        <v>20240630</v>
      </c>
      <c r="Y145" t="s">
        <v>1083</v>
      </c>
      <c r="Z145" t="s">
        <v>1084</v>
      </c>
      <c r="AA145" s="11" t="str">
        <f t="shared" si="2"/>
        <v>EXEC [dbo].[BalanceGeneralInsertar] @Nivel ='Auxiliar',@Transaccional ='Sí',@CodigoCuentaContable ='13551702', @NombreCuentaContable ='Devolución impuesto a las ventas retenido 15%',@Identificacion ='900347399',@Sucursal ='',@NombreTercero ='EXPORT HEALTH SAS',@SaldoInicial = -462412.5,@MovimientoDebito = 0,@MovimientoCredito =0,@SaldoFinal = 0,@Fecha ='20240630',@IdentificacionCliente = '901434038';</v>
      </c>
      <c r="AB145" t="s">
        <v>1085</v>
      </c>
    </row>
    <row r="146" spans="1:28" x14ac:dyDescent="0.25">
      <c r="A146" s="2" t="s">
        <v>28</v>
      </c>
      <c r="B146" s="2" t="s">
        <v>29</v>
      </c>
      <c r="C146" s="2" t="s">
        <v>182</v>
      </c>
      <c r="D146" s="2" t="s">
        <v>183</v>
      </c>
      <c r="E146" s="2" t="s">
        <v>141</v>
      </c>
      <c r="F146" s="2"/>
      <c r="G146" s="2" t="s">
        <v>142</v>
      </c>
      <c r="H146" s="3" t="s">
        <v>823</v>
      </c>
      <c r="I146" s="3">
        <v>0</v>
      </c>
      <c r="J146" s="3">
        <v>0</v>
      </c>
      <c r="K146" s="3" t="s">
        <v>823</v>
      </c>
      <c r="L146" t="s">
        <v>1071</v>
      </c>
      <c r="M146" t="s">
        <v>1072</v>
      </c>
      <c r="N146" t="s">
        <v>1073</v>
      </c>
      <c r="O146" t="s">
        <v>1074</v>
      </c>
      <c r="P146" t="s">
        <v>1075</v>
      </c>
      <c r="Q146" t="s">
        <v>1076</v>
      </c>
      <c r="R146" t="s">
        <v>1077</v>
      </c>
      <c r="S146" t="s">
        <v>1078</v>
      </c>
      <c r="T146" t="s">
        <v>1079</v>
      </c>
      <c r="U146" t="s">
        <v>1080</v>
      </c>
      <c r="V146" t="s">
        <v>1081</v>
      </c>
      <c r="W146" t="s">
        <v>1082</v>
      </c>
      <c r="X146">
        <v>20240630</v>
      </c>
      <c r="Y146" t="s">
        <v>1083</v>
      </c>
      <c r="Z146" t="s">
        <v>1084</v>
      </c>
      <c r="AA146" s="11" t="str">
        <f t="shared" si="2"/>
        <v>EXEC [dbo].[BalanceGeneralInsertar] @Nivel ='Auxiliar',@Transaccional ='Sí',@CodigoCuentaContable ='13551702', @NombreCuentaContable ='Devolución impuesto a las ventas retenido 15%',@Identificacion ='901451874',@Sucursal ='',@NombreTercero ='CABARCAS GROUP S.A.S.',@SaldoInicial = -991375.13,@MovimientoDebito = 0,@MovimientoCredito =0,@SaldoFinal = 0,@Fecha ='20240630',@IdentificacionCliente = '901434038';</v>
      </c>
      <c r="AB146" t="s">
        <v>1085</v>
      </c>
    </row>
    <row r="147" spans="1:28" x14ac:dyDescent="0.25">
      <c r="A147" s="2" t="s">
        <v>25</v>
      </c>
      <c r="B147" s="2" t="s">
        <v>16</v>
      </c>
      <c r="C147" s="2" t="s">
        <v>184</v>
      </c>
      <c r="D147" s="2" t="s">
        <v>185</v>
      </c>
      <c r="E147" s="2"/>
      <c r="F147" s="2"/>
      <c r="G147" s="2"/>
      <c r="H147" s="3">
        <v>0</v>
      </c>
      <c r="I147" s="3">
        <v>0</v>
      </c>
      <c r="J147" s="3">
        <v>0</v>
      </c>
      <c r="K147" s="3">
        <v>0</v>
      </c>
      <c r="L147" t="s">
        <v>1071</v>
      </c>
      <c r="M147" t="s">
        <v>1072</v>
      </c>
      <c r="N147" t="s">
        <v>1073</v>
      </c>
      <c r="O147" t="s">
        <v>1074</v>
      </c>
      <c r="P147" t="s">
        <v>1075</v>
      </c>
      <c r="Q147" t="s">
        <v>1076</v>
      </c>
      <c r="R147" t="s">
        <v>1077</v>
      </c>
      <c r="S147" t="s">
        <v>1078</v>
      </c>
      <c r="T147" t="s">
        <v>1079</v>
      </c>
      <c r="U147" t="s">
        <v>1080</v>
      </c>
      <c r="V147" t="s">
        <v>1081</v>
      </c>
      <c r="W147" t="s">
        <v>1082</v>
      </c>
      <c r="X147">
        <v>20240630</v>
      </c>
      <c r="Y147" t="s">
        <v>1083</v>
      </c>
      <c r="Z147" t="s">
        <v>1084</v>
      </c>
      <c r="AA147" s="11" t="str">
        <f t="shared" si="2"/>
        <v>EXEC [dbo].[BalanceGeneralInsertar] @Nivel ='Subcuenta',@Transaccional ='No',@CodigoCuentaContable ='135518', @NombreCuentaContable ='Impuesto de industria y comercio retenido',@Identificacion ='',@Sucursal ='',@NombreTercero ='',@SaldoInicial = 0,@MovimientoDebito = 0,@MovimientoCredito =0,@SaldoFinal = 0,@Fecha ='20240630',@IdentificacionCliente = '901434038';</v>
      </c>
      <c r="AB147" t="s">
        <v>1085</v>
      </c>
    </row>
    <row r="148" spans="1:28" x14ac:dyDescent="0.25">
      <c r="A148" s="2" t="s">
        <v>28</v>
      </c>
      <c r="B148" s="2" t="s">
        <v>29</v>
      </c>
      <c r="C148" s="2" t="s">
        <v>186</v>
      </c>
      <c r="D148" s="2" t="s">
        <v>187</v>
      </c>
      <c r="E148" s="2" t="s">
        <v>33</v>
      </c>
      <c r="F148" s="2"/>
      <c r="G148" s="2" t="s">
        <v>34</v>
      </c>
      <c r="H148" s="3" t="s">
        <v>824</v>
      </c>
      <c r="I148" s="3">
        <v>0</v>
      </c>
      <c r="J148" s="3">
        <v>0</v>
      </c>
      <c r="K148" s="3" t="s">
        <v>824</v>
      </c>
      <c r="L148" t="s">
        <v>1071</v>
      </c>
      <c r="M148" t="s">
        <v>1072</v>
      </c>
      <c r="N148" t="s">
        <v>1073</v>
      </c>
      <c r="O148" t="s">
        <v>1074</v>
      </c>
      <c r="P148" t="s">
        <v>1075</v>
      </c>
      <c r="Q148" t="s">
        <v>1076</v>
      </c>
      <c r="R148" t="s">
        <v>1077</v>
      </c>
      <c r="S148" t="s">
        <v>1078</v>
      </c>
      <c r="T148" t="s">
        <v>1079</v>
      </c>
      <c r="U148" t="s">
        <v>1080</v>
      </c>
      <c r="V148" t="s">
        <v>1081</v>
      </c>
      <c r="W148" t="s">
        <v>1082</v>
      </c>
      <c r="X148">
        <v>20240630</v>
      </c>
      <c r="Y148" t="s">
        <v>1083</v>
      </c>
      <c r="Z148" t="s">
        <v>1084</v>
      </c>
      <c r="AA148" s="11" t="str">
        <f t="shared" si="2"/>
        <v>EXEC [dbo].[BalanceGeneralInsertar] @Nivel ='Auxiliar',@Transaccional ='Sí',@CodigoCuentaContable ='13551801', @NombreCuentaContable ='Rete Ica 11,04',@Identificacion ='899999061',@Sucursal ='',@NombreTercero ='Secretaría Distrital de Hacienda',@SaldoInicial = -71848.74,@MovimientoDebito = 0,@MovimientoCredito =0,@SaldoFinal = 0,@Fecha ='20240630',@IdentificacionCliente = '901434038';</v>
      </c>
      <c r="AB148" t="s">
        <v>1085</v>
      </c>
    </row>
    <row r="149" spans="1:28" x14ac:dyDescent="0.25">
      <c r="A149" s="2" t="s">
        <v>28</v>
      </c>
      <c r="B149" s="2" t="s">
        <v>29</v>
      </c>
      <c r="C149" s="2" t="s">
        <v>186</v>
      </c>
      <c r="D149" s="2" t="s">
        <v>187</v>
      </c>
      <c r="E149" s="2" t="s">
        <v>115</v>
      </c>
      <c r="F149" s="2"/>
      <c r="G149" s="2" t="s">
        <v>116</v>
      </c>
      <c r="H149" s="3" t="s">
        <v>825</v>
      </c>
      <c r="I149" s="3">
        <v>0</v>
      </c>
      <c r="J149" s="3">
        <v>0</v>
      </c>
      <c r="K149" s="3" t="s">
        <v>825</v>
      </c>
      <c r="L149" t="s">
        <v>1071</v>
      </c>
      <c r="M149" t="s">
        <v>1072</v>
      </c>
      <c r="N149" t="s">
        <v>1073</v>
      </c>
      <c r="O149" t="s">
        <v>1074</v>
      </c>
      <c r="P149" t="s">
        <v>1075</v>
      </c>
      <c r="Q149" t="s">
        <v>1076</v>
      </c>
      <c r="R149" t="s">
        <v>1077</v>
      </c>
      <c r="S149" t="s">
        <v>1078</v>
      </c>
      <c r="T149" t="s">
        <v>1079</v>
      </c>
      <c r="U149" t="s">
        <v>1080</v>
      </c>
      <c r="V149" t="s">
        <v>1081</v>
      </c>
      <c r="W149" t="s">
        <v>1082</v>
      </c>
      <c r="X149">
        <v>20240630</v>
      </c>
      <c r="Y149" t="s">
        <v>1083</v>
      </c>
      <c r="Z149" t="s">
        <v>1084</v>
      </c>
      <c r="AA149" s="11" t="str">
        <f t="shared" si="2"/>
        <v>EXEC [dbo].[BalanceGeneralInsertar] @Nivel ='Auxiliar',@Transaccional ='Sí',@CodigoCuentaContable ='13551801', @NombreCuentaContable ='Rete Ica 11,04',@Identificacion ='901093584',@Sucursal ='',@NombreTercero ='VITTI S A S',@SaldoInicial = 71848.74,@MovimientoDebito = 0,@MovimientoCredito =0,@SaldoFinal = 0,@Fecha ='20240630',@IdentificacionCliente = '901434038';</v>
      </c>
      <c r="AB149" t="s">
        <v>1085</v>
      </c>
    </row>
    <row r="150" spans="1:28" x14ac:dyDescent="0.25">
      <c r="A150" s="2" t="s">
        <v>28</v>
      </c>
      <c r="B150" s="2" t="s">
        <v>29</v>
      </c>
      <c r="C150" s="2" t="s">
        <v>188</v>
      </c>
      <c r="D150" s="2" t="s">
        <v>189</v>
      </c>
      <c r="E150" s="2" t="s">
        <v>33</v>
      </c>
      <c r="F150" s="2"/>
      <c r="G150" s="2" t="s">
        <v>34</v>
      </c>
      <c r="H150" s="3" t="s">
        <v>826</v>
      </c>
      <c r="I150" s="3">
        <v>0</v>
      </c>
      <c r="J150" s="3">
        <v>0</v>
      </c>
      <c r="K150" s="3" t="s">
        <v>826</v>
      </c>
      <c r="L150" t="s">
        <v>1071</v>
      </c>
      <c r="M150" t="s">
        <v>1072</v>
      </c>
      <c r="N150" t="s">
        <v>1073</v>
      </c>
      <c r="O150" t="s">
        <v>1074</v>
      </c>
      <c r="P150" t="s">
        <v>1075</v>
      </c>
      <c r="Q150" t="s">
        <v>1076</v>
      </c>
      <c r="R150" t="s">
        <v>1077</v>
      </c>
      <c r="S150" t="s">
        <v>1078</v>
      </c>
      <c r="T150" t="s">
        <v>1079</v>
      </c>
      <c r="U150" t="s">
        <v>1080</v>
      </c>
      <c r="V150" t="s">
        <v>1081</v>
      </c>
      <c r="W150" t="s">
        <v>1082</v>
      </c>
      <c r="X150">
        <v>20240630</v>
      </c>
      <c r="Y150" t="s">
        <v>1083</v>
      </c>
      <c r="Z150" t="s">
        <v>1084</v>
      </c>
      <c r="AA150" s="11" t="str">
        <f t="shared" si="2"/>
        <v>EXEC [dbo].[BalanceGeneralInsertar] @Nivel ='Auxiliar',@Transaccional ='Sí',@CodigoCuentaContable ='13551803', @NombreCuentaContable ='Rete Ica 13,08',@Identificacion ='899999061',@Sucursal ='',@NombreTercero ='Secretaría Distrital de Hacienda',@SaldoInicial = -0.7,@MovimientoDebito = 0,@MovimientoCredito =0,@SaldoFinal = 0,@Fecha ='20240630',@IdentificacionCliente = '901434038';</v>
      </c>
      <c r="AB150" t="s">
        <v>1085</v>
      </c>
    </row>
    <row r="151" spans="1:28" x14ac:dyDescent="0.25">
      <c r="A151" s="2" t="s">
        <v>28</v>
      </c>
      <c r="B151" s="2" t="s">
        <v>29</v>
      </c>
      <c r="C151" s="2" t="s">
        <v>190</v>
      </c>
      <c r="D151" s="2" t="s">
        <v>191</v>
      </c>
      <c r="E151" s="2" t="s">
        <v>33</v>
      </c>
      <c r="F151" s="2"/>
      <c r="G151" s="2" t="s">
        <v>34</v>
      </c>
      <c r="H151" s="3" t="s">
        <v>827</v>
      </c>
      <c r="I151" s="3">
        <v>0</v>
      </c>
      <c r="J151" s="3">
        <v>0</v>
      </c>
      <c r="K151" s="3" t="s">
        <v>827</v>
      </c>
      <c r="L151" t="s">
        <v>1071</v>
      </c>
      <c r="M151" t="s">
        <v>1072</v>
      </c>
      <c r="N151" t="s">
        <v>1073</v>
      </c>
      <c r="O151" t="s">
        <v>1074</v>
      </c>
      <c r="P151" t="s">
        <v>1075</v>
      </c>
      <c r="Q151" t="s">
        <v>1076</v>
      </c>
      <c r="R151" t="s">
        <v>1077</v>
      </c>
      <c r="S151" t="s">
        <v>1078</v>
      </c>
      <c r="T151" t="s">
        <v>1079</v>
      </c>
      <c r="U151" t="s">
        <v>1080</v>
      </c>
      <c r="V151" t="s">
        <v>1081</v>
      </c>
      <c r="W151" t="s">
        <v>1082</v>
      </c>
      <c r="X151">
        <v>20240630</v>
      </c>
      <c r="Y151" t="s">
        <v>1083</v>
      </c>
      <c r="Z151" t="s">
        <v>1084</v>
      </c>
      <c r="AA151" s="11" t="str">
        <f t="shared" si="2"/>
        <v>EXEC [dbo].[BalanceGeneralInsertar] @Nivel ='Auxiliar',@Transaccional ='Sí',@CodigoCuentaContable ='13551805', @NombreCuentaContable ='Rete Ica 9,66',@Identificacion ='899999061',@Sucursal ='',@NombreTercero ='Secretaría Distrital de Hacienda',@SaldoInicial = -1891902.66,@MovimientoDebito = 0,@MovimientoCredito =0,@SaldoFinal = 0,@Fecha ='20240630',@IdentificacionCliente = '901434038';</v>
      </c>
      <c r="AB151" t="s">
        <v>1085</v>
      </c>
    </row>
    <row r="152" spans="1:28" x14ac:dyDescent="0.25">
      <c r="A152" s="2" t="s">
        <v>28</v>
      </c>
      <c r="B152" s="2" t="s">
        <v>29</v>
      </c>
      <c r="C152" s="2" t="s">
        <v>190</v>
      </c>
      <c r="D152" s="2" t="s">
        <v>191</v>
      </c>
      <c r="E152" s="2" t="s">
        <v>115</v>
      </c>
      <c r="F152" s="2"/>
      <c r="G152" s="2" t="s">
        <v>116</v>
      </c>
      <c r="H152" s="3" t="s">
        <v>828</v>
      </c>
      <c r="I152" s="3">
        <v>0</v>
      </c>
      <c r="J152" s="3">
        <v>0</v>
      </c>
      <c r="K152" s="3" t="s">
        <v>828</v>
      </c>
      <c r="L152" t="s">
        <v>1071</v>
      </c>
      <c r="M152" t="s">
        <v>1072</v>
      </c>
      <c r="N152" t="s">
        <v>1073</v>
      </c>
      <c r="O152" t="s">
        <v>1074</v>
      </c>
      <c r="P152" t="s">
        <v>1075</v>
      </c>
      <c r="Q152" t="s">
        <v>1076</v>
      </c>
      <c r="R152" t="s">
        <v>1077</v>
      </c>
      <c r="S152" t="s">
        <v>1078</v>
      </c>
      <c r="T152" t="s">
        <v>1079</v>
      </c>
      <c r="U152" t="s">
        <v>1080</v>
      </c>
      <c r="V152" t="s">
        <v>1081</v>
      </c>
      <c r="W152" t="s">
        <v>1082</v>
      </c>
      <c r="X152">
        <v>20240630</v>
      </c>
      <c r="Y152" t="s">
        <v>1083</v>
      </c>
      <c r="Z152" t="s">
        <v>1084</v>
      </c>
      <c r="AA152" s="11" t="str">
        <f t="shared" si="2"/>
        <v>EXEC [dbo].[BalanceGeneralInsertar] @Nivel ='Auxiliar',@Transaccional ='Sí',@CodigoCuentaContable ='13551805', @NombreCuentaContable ='Rete Ica 9,66',@Identificacion ='901093584',@Sucursal ='',@NombreTercero ='VITTI S A S',@SaldoInicial = 1106435.19,@MovimientoDebito = 0,@MovimientoCredito =0,@SaldoFinal = 0,@Fecha ='20240630',@IdentificacionCliente = '901434038';</v>
      </c>
      <c r="AB152" t="s">
        <v>1085</v>
      </c>
    </row>
    <row r="153" spans="1:28" x14ac:dyDescent="0.25">
      <c r="A153" s="2" t="s">
        <v>28</v>
      </c>
      <c r="B153" s="2" t="s">
        <v>29</v>
      </c>
      <c r="C153" s="2" t="s">
        <v>190</v>
      </c>
      <c r="D153" s="2" t="s">
        <v>191</v>
      </c>
      <c r="E153" s="2" t="s">
        <v>103</v>
      </c>
      <c r="F153" s="2"/>
      <c r="G153" s="2" t="s">
        <v>104</v>
      </c>
      <c r="H153" s="3" t="s">
        <v>829</v>
      </c>
      <c r="I153" s="3">
        <v>0</v>
      </c>
      <c r="J153" s="3">
        <v>0</v>
      </c>
      <c r="K153" s="3" t="s">
        <v>829</v>
      </c>
      <c r="L153" t="s">
        <v>1071</v>
      </c>
      <c r="M153" t="s">
        <v>1072</v>
      </c>
      <c r="N153" t="s">
        <v>1073</v>
      </c>
      <c r="O153" t="s">
        <v>1074</v>
      </c>
      <c r="P153" t="s">
        <v>1075</v>
      </c>
      <c r="Q153" t="s">
        <v>1076</v>
      </c>
      <c r="R153" t="s">
        <v>1077</v>
      </c>
      <c r="S153" t="s">
        <v>1078</v>
      </c>
      <c r="T153" t="s">
        <v>1079</v>
      </c>
      <c r="U153" t="s">
        <v>1080</v>
      </c>
      <c r="V153" t="s">
        <v>1081</v>
      </c>
      <c r="W153" t="s">
        <v>1082</v>
      </c>
      <c r="X153">
        <v>20240630</v>
      </c>
      <c r="Y153" t="s">
        <v>1083</v>
      </c>
      <c r="Z153" t="s">
        <v>1084</v>
      </c>
      <c r="AA153" s="11" t="str">
        <f t="shared" si="2"/>
        <v>EXEC [dbo].[BalanceGeneralInsertar] @Nivel ='Auxiliar',@Transaccional ='Sí',@CodigoCuentaContable ='13551805', @NombreCuentaContable ='Rete Ica 9,66',@Identificacion ='900297847',@Sucursal ='',@NombreTercero ='CENTRO CONTRA EFECTOS DE LA EDAD S.A.S',@SaldoInicial = 397973.8,@MovimientoDebito = 0,@MovimientoCredito =0,@SaldoFinal = 0,@Fecha ='20240630',@IdentificacionCliente = '901434038';</v>
      </c>
      <c r="AB153" t="s">
        <v>1085</v>
      </c>
    </row>
    <row r="154" spans="1:28" x14ac:dyDescent="0.25">
      <c r="A154" s="2" t="s">
        <v>28</v>
      </c>
      <c r="B154" s="2" t="s">
        <v>29</v>
      </c>
      <c r="C154" s="2" t="s">
        <v>190</v>
      </c>
      <c r="D154" s="2" t="s">
        <v>191</v>
      </c>
      <c r="E154" s="2" t="s">
        <v>89</v>
      </c>
      <c r="F154" s="2"/>
      <c r="G154" s="2" t="s">
        <v>90</v>
      </c>
      <c r="H154" s="3">
        <v>183053</v>
      </c>
      <c r="I154" s="3">
        <v>0</v>
      </c>
      <c r="J154" s="3">
        <v>0</v>
      </c>
      <c r="K154" s="3">
        <v>183053</v>
      </c>
      <c r="L154" t="s">
        <v>1071</v>
      </c>
      <c r="M154" t="s">
        <v>1072</v>
      </c>
      <c r="N154" t="s">
        <v>1073</v>
      </c>
      <c r="O154" t="s">
        <v>1074</v>
      </c>
      <c r="P154" t="s">
        <v>1075</v>
      </c>
      <c r="Q154" t="s">
        <v>1076</v>
      </c>
      <c r="R154" t="s">
        <v>1077</v>
      </c>
      <c r="S154" t="s">
        <v>1078</v>
      </c>
      <c r="T154" t="s">
        <v>1079</v>
      </c>
      <c r="U154" t="s">
        <v>1080</v>
      </c>
      <c r="V154" t="s">
        <v>1081</v>
      </c>
      <c r="W154" t="s">
        <v>1082</v>
      </c>
      <c r="X154">
        <v>20240630</v>
      </c>
      <c r="Y154" t="s">
        <v>1083</v>
      </c>
      <c r="Z154" t="s">
        <v>1084</v>
      </c>
      <c r="AA154" s="11" t="str">
        <f t="shared" si="2"/>
        <v>EXEC [dbo].[BalanceGeneralInsertar] @Nivel ='Auxiliar',@Transaccional ='Sí',@CodigoCuentaContable ='13551805', @NombreCuentaContable ='Rete Ica 9,66',@Identificacion ='900192072',@Sucursal ='',@NombreTercero ='SEOUL MEDICINA ESTETICA INTEGRAL Y SPA S.A.',@SaldoInicial = 183053,@MovimientoDebito = 0,@MovimientoCredito =0,@SaldoFinal = 0,@Fecha ='20240630',@IdentificacionCliente = '901434038';</v>
      </c>
      <c r="AB154" t="s">
        <v>1085</v>
      </c>
    </row>
    <row r="155" spans="1:28" x14ac:dyDescent="0.25">
      <c r="A155" s="2" t="s">
        <v>28</v>
      </c>
      <c r="B155" s="2" t="s">
        <v>29</v>
      </c>
      <c r="C155" s="2" t="s">
        <v>190</v>
      </c>
      <c r="D155" s="2" t="s">
        <v>191</v>
      </c>
      <c r="E155" s="2" t="s">
        <v>83</v>
      </c>
      <c r="F155" s="2"/>
      <c r="G155" s="2" t="s">
        <v>84</v>
      </c>
      <c r="H155" s="3" t="s">
        <v>830</v>
      </c>
      <c r="I155" s="3">
        <v>0</v>
      </c>
      <c r="J155" s="3">
        <v>0</v>
      </c>
      <c r="K155" s="3" t="s">
        <v>830</v>
      </c>
      <c r="L155" t="s">
        <v>1071</v>
      </c>
      <c r="M155" t="s">
        <v>1072</v>
      </c>
      <c r="N155" t="s">
        <v>1073</v>
      </c>
      <c r="O155" t="s">
        <v>1074</v>
      </c>
      <c r="P155" t="s">
        <v>1075</v>
      </c>
      <c r="Q155" t="s">
        <v>1076</v>
      </c>
      <c r="R155" t="s">
        <v>1077</v>
      </c>
      <c r="S155" t="s">
        <v>1078</v>
      </c>
      <c r="T155" t="s">
        <v>1079</v>
      </c>
      <c r="U155" t="s">
        <v>1080</v>
      </c>
      <c r="V155" t="s">
        <v>1081</v>
      </c>
      <c r="W155" t="s">
        <v>1082</v>
      </c>
      <c r="X155">
        <v>20240630</v>
      </c>
      <c r="Y155" t="s">
        <v>1083</v>
      </c>
      <c r="Z155" t="s">
        <v>1084</v>
      </c>
      <c r="AA155" s="11" t="str">
        <f t="shared" si="2"/>
        <v>EXEC [dbo].[BalanceGeneralInsertar] @Nivel ='Auxiliar',@Transaccional ='Sí',@CodigoCuentaContable ='13551805', @NombreCuentaContable ='Rete Ica 9,66',@Identificacion ='830081040',@Sucursal ='',@NombreTercero ='INSTITUTO DE ESTETICA MEDICA DE COLOMBIA LTDA.',@SaldoInicial = 204440.67,@MovimientoDebito = 0,@MovimientoCredito =0,@SaldoFinal = 0,@Fecha ='20240630',@IdentificacionCliente = '901434038';</v>
      </c>
      <c r="AB155" t="s">
        <v>1085</v>
      </c>
    </row>
    <row r="156" spans="1:28" x14ac:dyDescent="0.25">
      <c r="A156" s="2" t="s">
        <v>28</v>
      </c>
      <c r="B156" s="2" t="s">
        <v>29</v>
      </c>
      <c r="C156" s="2" t="s">
        <v>192</v>
      </c>
      <c r="D156" s="2" t="s">
        <v>193</v>
      </c>
      <c r="E156" s="2" t="s">
        <v>33</v>
      </c>
      <c r="F156" s="2"/>
      <c r="G156" s="2" t="s">
        <v>34</v>
      </c>
      <c r="H156" s="3">
        <v>143750</v>
      </c>
      <c r="I156" s="3">
        <v>0</v>
      </c>
      <c r="J156" s="3">
        <v>0</v>
      </c>
      <c r="K156" s="3">
        <v>143750</v>
      </c>
      <c r="L156" t="s">
        <v>1071</v>
      </c>
      <c r="M156" t="s">
        <v>1072</v>
      </c>
      <c r="N156" t="s">
        <v>1073</v>
      </c>
      <c r="O156" t="s">
        <v>1074</v>
      </c>
      <c r="P156" t="s">
        <v>1075</v>
      </c>
      <c r="Q156" t="s">
        <v>1076</v>
      </c>
      <c r="R156" t="s">
        <v>1077</v>
      </c>
      <c r="S156" t="s">
        <v>1078</v>
      </c>
      <c r="T156" t="s">
        <v>1079</v>
      </c>
      <c r="U156" t="s">
        <v>1080</v>
      </c>
      <c r="V156" t="s">
        <v>1081</v>
      </c>
      <c r="W156" t="s">
        <v>1082</v>
      </c>
      <c r="X156">
        <v>20240630</v>
      </c>
      <c r="Y156" t="s">
        <v>1083</v>
      </c>
      <c r="Z156" t="s">
        <v>1084</v>
      </c>
      <c r="AA156" s="11" t="str">
        <f t="shared" si="2"/>
        <v>EXEC [dbo].[BalanceGeneralInsertar] @Nivel ='Auxiliar',@Transaccional ='Sí',@CodigoCuentaContable ='13551806', @NombreCuentaContable ='Devolución Rete Ica 9,66',@Identificacion ='899999061',@Sucursal ='',@NombreTercero ='Secretaría Distrital de Hacienda',@SaldoInicial = 143750,@MovimientoDebito = 0,@MovimientoCredito =0,@SaldoFinal = 0,@Fecha ='20240630',@IdentificacionCliente = '901434038';</v>
      </c>
      <c r="AB156" t="s">
        <v>1085</v>
      </c>
    </row>
    <row r="157" spans="1:28" x14ac:dyDescent="0.25">
      <c r="A157" s="2" t="s">
        <v>28</v>
      </c>
      <c r="B157" s="2" t="s">
        <v>29</v>
      </c>
      <c r="C157" s="2" t="s">
        <v>192</v>
      </c>
      <c r="D157" s="2" t="s">
        <v>193</v>
      </c>
      <c r="E157" s="2" t="s">
        <v>115</v>
      </c>
      <c r="F157" s="2"/>
      <c r="G157" s="2" t="s">
        <v>116</v>
      </c>
      <c r="H157" s="3">
        <v>-143750</v>
      </c>
      <c r="I157" s="3">
        <v>0</v>
      </c>
      <c r="J157" s="3">
        <v>0</v>
      </c>
      <c r="K157" s="3">
        <v>-143750</v>
      </c>
      <c r="L157" t="s">
        <v>1071</v>
      </c>
      <c r="M157" t="s">
        <v>1072</v>
      </c>
      <c r="N157" t="s">
        <v>1073</v>
      </c>
      <c r="O157" t="s">
        <v>1074</v>
      </c>
      <c r="P157" t="s">
        <v>1075</v>
      </c>
      <c r="Q157" t="s">
        <v>1076</v>
      </c>
      <c r="R157" t="s">
        <v>1077</v>
      </c>
      <c r="S157" t="s">
        <v>1078</v>
      </c>
      <c r="T157" t="s">
        <v>1079</v>
      </c>
      <c r="U157" t="s">
        <v>1080</v>
      </c>
      <c r="V157" t="s">
        <v>1081</v>
      </c>
      <c r="W157" t="s">
        <v>1082</v>
      </c>
      <c r="X157">
        <v>20240630</v>
      </c>
      <c r="Y157" t="s">
        <v>1083</v>
      </c>
      <c r="Z157" t="s">
        <v>1084</v>
      </c>
      <c r="AA157" s="11" t="str">
        <f t="shared" si="2"/>
        <v>EXEC [dbo].[BalanceGeneralInsertar] @Nivel ='Auxiliar',@Transaccional ='Sí',@CodigoCuentaContable ='13551806', @NombreCuentaContable ='Devolución Rete Ica 9,66',@Identificacion ='901093584',@Sucursal ='',@NombreTercero ='VITTI S A S',@SaldoInicial = -143750,@MovimientoDebito = 0,@MovimientoCredito =0,@SaldoFinal = 0,@Fecha ='20240630',@IdentificacionCliente = '901434038';</v>
      </c>
      <c r="AB157" t="s">
        <v>1085</v>
      </c>
    </row>
    <row r="158" spans="1:28" x14ac:dyDescent="0.25">
      <c r="A158" s="2" t="s">
        <v>28</v>
      </c>
      <c r="B158" s="2" t="s">
        <v>29</v>
      </c>
      <c r="C158" s="2" t="s">
        <v>194</v>
      </c>
      <c r="D158" s="2" t="s">
        <v>195</v>
      </c>
      <c r="E158" s="2" t="s">
        <v>33</v>
      </c>
      <c r="F158" s="2"/>
      <c r="G158" s="2" t="s">
        <v>34</v>
      </c>
      <c r="H158" s="3" t="s">
        <v>831</v>
      </c>
      <c r="I158" s="3">
        <v>0</v>
      </c>
      <c r="J158" s="3">
        <v>0</v>
      </c>
      <c r="K158" s="3" t="s">
        <v>831</v>
      </c>
      <c r="L158" t="s">
        <v>1071</v>
      </c>
      <c r="M158" t="s">
        <v>1072</v>
      </c>
      <c r="N158" t="s">
        <v>1073</v>
      </c>
      <c r="O158" t="s">
        <v>1074</v>
      </c>
      <c r="P158" t="s">
        <v>1075</v>
      </c>
      <c r="Q158" t="s">
        <v>1076</v>
      </c>
      <c r="R158" t="s">
        <v>1077</v>
      </c>
      <c r="S158" t="s">
        <v>1078</v>
      </c>
      <c r="T158" t="s">
        <v>1079</v>
      </c>
      <c r="U158" t="s">
        <v>1080</v>
      </c>
      <c r="V158" t="s">
        <v>1081</v>
      </c>
      <c r="W158" t="s">
        <v>1082</v>
      </c>
      <c r="X158">
        <v>20240630</v>
      </c>
      <c r="Y158" t="s">
        <v>1083</v>
      </c>
      <c r="Z158" t="s">
        <v>1084</v>
      </c>
      <c r="AA158" s="11" t="str">
        <f t="shared" si="2"/>
        <v>EXEC [dbo].[BalanceGeneralInsertar] @Nivel ='Auxiliar',@Transaccional ='Sí',@CodigoCuentaContable ='13551809', @NombreCuentaContable ='Rete Ica 8.66',@Identificacion ='899999061',@Sucursal ='',@NombreTercero ='Secretaría Distrital de Hacienda',@SaldoInicial = -223061.7,@MovimientoDebito = 0,@MovimientoCredito =0,@SaldoFinal = 0,@Fecha ='20240630',@IdentificacionCliente = '901434038';</v>
      </c>
      <c r="AB158" t="s">
        <v>1085</v>
      </c>
    </row>
    <row r="159" spans="1:28" x14ac:dyDescent="0.25">
      <c r="A159" s="2" t="s">
        <v>28</v>
      </c>
      <c r="B159" s="2" t="s">
        <v>29</v>
      </c>
      <c r="C159" s="2" t="s">
        <v>194</v>
      </c>
      <c r="D159" s="2" t="s">
        <v>195</v>
      </c>
      <c r="E159" s="2" t="s">
        <v>115</v>
      </c>
      <c r="F159" s="2"/>
      <c r="G159" s="2" t="s">
        <v>116</v>
      </c>
      <c r="H159" s="3" t="s">
        <v>832</v>
      </c>
      <c r="I159" s="3">
        <v>0</v>
      </c>
      <c r="J159" s="3">
        <v>0</v>
      </c>
      <c r="K159" s="3" t="s">
        <v>832</v>
      </c>
      <c r="L159" t="s">
        <v>1071</v>
      </c>
      <c r="M159" t="s">
        <v>1072</v>
      </c>
      <c r="N159" t="s">
        <v>1073</v>
      </c>
      <c r="O159" t="s">
        <v>1074</v>
      </c>
      <c r="P159" t="s">
        <v>1075</v>
      </c>
      <c r="Q159" t="s">
        <v>1076</v>
      </c>
      <c r="R159" t="s">
        <v>1077</v>
      </c>
      <c r="S159" t="s">
        <v>1078</v>
      </c>
      <c r="T159" t="s">
        <v>1079</v>
      </c>
      <c r="U159" t="s">
        <v>1080</v>
      </c>
      <c r="V159" t="s">
        <v>1081</v>
      </c>
      <c r="W159" t="s">
        <v>1082</v>
      </c>
      <c r="X159">
        <v>20240630</v>
      </c>
      <c r="Y159" t="s">
        <v>1083</v>
      </c>
      <c r="Z159" t="s">
        <v>1084</v>
      </c>
      <c r="AA159" s="11" t="str">
        <f t="shared" si="2"/>
        <v>EXEC [dbo].[BalanceGeneralInsertar] @Nivel ='Auxiliar',@Transaccional ='Sí',@CodigoCuentaContable ='13551809', @NombreCuentaContable ='Rete Ica 8.66',@Identificacion ='901093584',@Sucursal ='',@NombreTercero ='VITTI S A S',@SaldoInicial = 188421.7,@MovimientoDebito = 0,@MovimientoCredito =0,@SaldoFinal = 0,@Fecha ='20240630',@IdentificacionCliente = '901434038';</v>
      </c>
      <c r="AB159" t="s">
        <v>1085</v>
      </c>
    </row>
    <row r="160" spans="1:28" x14ac:dyDescent="0.25">
      <c r="A160" s="2" t="s">
        <v>28</v>
      </c>
      <c r="B160" s="2" t="s">
        <v>29</v>
      </c>
      <c r="C160" s="2" t="s">
        <v>194</v>
      </c>
      <c r="D160" s="2" t="s">
        <v>195</v>
      </c>
      <c r="E160" s="2" t="s">
        <v>77</v>
      </c>
      <c r="F160" s="2"/>
      <c r="G160" s="2" t="s">
        <v>78</v>
      </c>
      <c r="H160" s="3">
        <v>34640</v>
      </c>
      <c r="I160" s="3">
        <v>0</v>
      </c>
      <c r="J160" s="3">
        <v>0</v>
      </c>
      <c r="K160" s="3">
        <v>34640</v>
      </c>
      <c r="L160" t="s">
        <v>1071</v>
      </c>
      <c r="M160" t="s">
        <v>1072</v>
      </c>
      <c r="N160" t="s">
        <v>1073</v>
      </c>
      <c r="O160" t="s">
        <v>1074</v>
      </c>
      <c r="P160" t="s">
        <v>1075</v>
      </c>
      <c r="Q160" t="s">
        <v>1076</v>
      </c>
      <c r="R160" t="s">
        <v>1077</v>
      </c>
      <c r="S160" t="s">
        <v>1078</v>
      </c>
      <c r="T160" t="s">
        <v>1079</v>
      </c>
      <c r="U160" t="s">
        <v>1080</v>
      </c>
      <c r="V160" t="s">
        <v>1081</v>
      </c>
      <c r="W160" t="s">
        <v>1082</v>
      </c>
      <c r="X160">
        <v>20240630</v>
      </c>
      <c r="Y160" t="s">
        <v>1083</v>
      </c>
      <c r="Z160" t="s">
        <v>1084</v>
      </c>
      <c r="AA160" s="11" t="str">
        <f t="shared" si="2"/>
        <v>EXEC [dbo].[BalanceGeneralInsertar] @Nivel ='Auxiliar',@Transaccional ='Sí',@CodigoCuentaContable ='13551809', @NombreCuentaContable ='Rete Ica 8.66',@Identificacion ='900161580',@Sucursal ='',@NombreTercero ='ORGANIZACION SANTAMARIA SAS',@SaldoInicial = 34640,@MovimientoDebito = 0,@MovimientoCredito =0,@SaldoFinal = 0,@Fecha ='20240630',@IdentificacionCliente = '901434038';</v>
      </c>
      <c r="AB160" t="s">
        <v>1085</v>
      </c>
    </row>
    <row r="161" spans="1:28" x14ac:dyDescent="0.25">
      <c r="A161" s="2" t="s">
        <v>28</v>
      </c>
      <c r="B161" s="2" t="s">
        <v>29</v>
      </c>
      <c r="C161" s="2" t="s">
        <v>196</v>
      </c>
      <c r="D161" s="2" t="s">
        <v>197</v>
      </c>
      <c r="E161" s="2" t="s">
        <v>33</v>
      </c>
      <c r="F161" s="2"/>
      <c r="G161" s="2" t="s">
        <v>34</v>
      </c>
      <c r="H161" s="3">
        <v>-204480</v>
      </c>
      <c r="I161" s="3">
        <v>0</v>
      </c>
      <c r="J161" s="3">
        <v>0</v>
      </c>
      <c r="K161" s="3">
        <v>-204480</v>
      </c>
      <c r="L161" t="s">
        <v>1071</v>
      </c>
      <c r="M161" t="s">
        <v>1072</v>
      </c>
      <c r="N161" t="s">
        <v>1073</v>
      </c>
      <c r="O161" t="s">
        <v>1074</v>
      </c>
      <c r="P161" t="s">
        <v>1075</v>
      </c>
      <c r="Q161" t="s">
        <v>1076</v>
      </c>
      <c r="R161" t="s">
        <v>1077</v>
      </c>
      <c r="S161" t="s">
        <v>1078</v>
      </c>
      <c r="T161" t="s">
        <v>1079</v>
      </c>
      <c r="U161" t="s">
        <v>1080</v>
      </c>
      <c r="V161" t="s">
        <v>1081</v>
      </c>
      <c r="W161" t="s">
        <v>1082</v>
      </c>
      <c r="X161">
        <v>20240630</v>
      </c>
      <c r="Y161" t="s">
        <v>1083</v>
      </c>
      <c r="Z161" t="s">
        <v>1084</v>
      </c>
      <c r="AA161" s="11" t="str">
        <f t="shared" si="2"/>
        <v>EXEC [dbo].[BalanceGeneralInsertar] @Nivel ='Auxiliar',@Transaccional ='Sí',@CodigoCuentaContable ='13551813', @NombreCuentaContable ='Rete Ica 4',@Identificacion ='899999061',@Sucursal ='',@NombreTercero ='Secretaría Distrital de Hacienda',@SaldoInicial = -204480,@MovimientoDebito = 0,@MovimientoCredito =0,@SaldoFinal = 0,@Fecha ='20240630',@IdentificacionCliente = '901434038';</v>
      </c>
      <c r="AB161" t="s">
        <v>1085</v>
      </c>
    </row>
    <row r="162" spans="1:28" x14ac:dyDescent="0.25">
      <c r="A162" s="2" t="s">
        <v>28</v>
      </c>
      <c r="B162" s="2" t="s">
        <v>29</v>
      </c>
      <c r="C162" s="2" t="s">
        <v>196</v>
      </c>
      <c r="D162" s="2" t="s">
        <v>197</v>
      </c>
      <c r="E162" s="2" t="s">
        <v>103</v>
      </c>
      <c r="F162" s="2"/>
      <c r="G162" s="2" t="s">
        <v>104</v>
      </c>
      <c r="H162" s="3" t="s">
        <v>833</v>
      </c>
      <c r="I162" s="3">
        <v>0</v>
      </c>
      <c r="J162" s="3">
        <v>0</v>
      </c>
      <c r="K162" s="3" t="s">
        <v>833</v>
      </c>
      <c r="L162" t="s">
        <v>1071</v>
      </c>
      <c r="M162" t="s">
        <v>1072</v>
      </c>
      <c r="N162" t="s">
        <v>1073</v>
      </c>
      <c r="O162" t="s">
        <v>1074</v>
      </c>
      <c r="P162" t="s">
        <v>1075</v>
      </c>
      <c r="Q162" t="s">
        <v>1076</v>
      </c>
      <c r="R162" t="s">
        <v>1077</v>
      </c>
      <c r="S162" t="s">
        <v>1078</v>
      </c>
      <c r="T162" t="s">
        <v>1079</v>
      </c>
      <c r="U162" t="s">
        <v>1080</v>
      </c>
      <c r="V162" t="s">
        <v>1081</v>
      </c>
      <c r="W162" t="s">
        <v>1082</v>
      </c>
      <c r="X162">
        <v>20240630</v>
      </c>
      <c r="Y162" t="s">
        <v>1083</v>
      </c>
      <c r="Z162" t="s">
        <v>1084</v>
      </c>
      <c r="AA162" s="11" t="str">
        <f t="shared" si="2"/>
        <v>EXEC [dbo].[BalanceGeneralInsertar] @Nivel ='Auxiliar',@Transaccional ='Sí',@CodigoCuentaContable ='13551813', @NombreCuentaContable ='Rete Ica 4',@Identificacion ='900297847',@Sucursal ='',@NombreTercero ='CENTRO CONTRA EFECTOS DE LA EDAD S.A.S',@SaldoInicial = 18236.7,@MovimientoDebito = 0,@MovimientoCredito =0,@SaldoFinal = 0,@Fecha ='20240630',@IdentificacionCliente = '901434038';</v>
      </c>
      <c r="AB162" t="s">
        <v>1085</v>
      </c>
    </row>
    <row r="163" spans="1:28" x14ac:dyDescent="0.25">
      <c r="A163" s="2" t="s">
        <v>28</v>
      </c>
      <c r="B163" s="2" t="s">
        <v>29</v>
      </c>
      <c r="C163" s="2" t="s">
        <v>196</v>
      </c>
      <c r="D163" s="2" t="s">
        <v>197</v>
      </c>
      <c r="E163" s="2" t="s">
        <v>93</v>
      </c>
      <c r="F163" s="2"/>
      <c r="G163" s="2" t="s">
        <v>94</v>
      </c>
      <c r="H163" s="3">
        <v>186244</v>
      </c>
      <c r="I163" s="3">
        <v>0</v>
      </c>
      <c r="J163" s="3">
        <v>0</v>
      </c>
      <c r="K163" s="3">
        <v>186244</v>
      </c>
      <c r="L163" t="s">
        <v>1071</v>
      </c>
      <c r="M163" t="s">
        <v>1072</v>
      </c>
      <c r="N163" t="s">
        <v>1073</v>
      </c>
      <c r="O163" t="s">
        <v>1074</v>
      </c>
      <c r="P163" t="s">
        <v>1075</v>
      </c>
      <c r="Q163" t="s">
        <v>1076</v>
      </c>
      <c r="R163" t="s">
        <v>1077</v>
      </c>
      <c r="S163" t="s">
        <v>1078</v>
      </c>
      <c r="T163" t="s">
        <v>1079</v>
      </c>
      <c r="U163" t="s">
        <v>1080</v>
      </c>
      <c r="V163" t="s">
        <v>1081</v>
      </c>
      <c r="W163" t="s">
        <v>1082</v>
      </c>
      <c r="X163">
        <v>20240630</v>
      </c>
      <c r="Y163" t="s">
        <v>1083</v>
      </c>
      <c r="Z163" t="s">
        <v>1084</v>
      </c>
      <c r="AA163" s="11" t="str">
        <f t="shared" si="2"/>
        <v>EXEC [dbo].[BalanceGeneralInsertar] @Nivel ='Auxiliar',@Transaccional ='Sí',@CodigoCuentaContable ='13551813', @NombreCuentaContable ='Rete Ica 4',@Identificacion ='9900308524',@Sucursal ='',@NombreTercero ='INTÉGRIM S A S',@SaldoInicial = 186244,@MovimientoDebito = 0,@MovimientoCredito =0,@SaldoFinal = 0,@Fecha ='20240630',@IdentificacionCliente = '901434038';</v>
      </c>
      <c r="AB163" t="s">
        <v>1085</v>
      </c>
    </row>
    <row r="164" spans="1:28" x14ac:dyDescent="0.25">
      <c r="A164" s="2" t="s">
        <v>28</v>
      </c>
      <c r="B164" s="2" t="s">
        <v>29</v>
      </c>
      <c r="C164" s="2" t="s">
        <v>198</v>
      </c>
      <c r="D164" s="2" t="s">
        <v>199</v>
      </c>
      <c r="E164" s="2" t="s">
        <v>33</v>
      </c>
      <c r="F164" s="2"/>
      <c r="G164" s="2" t="s">
        <v>34</v>
      </c>
      <c r="H164" s="3" t="s">
        <v>833</v>
      </c>
      <c r="I164" s="3">
        <v>0</v>
      </c>
      <c r="J164" s="3">
        <v>0</v>
      </c>
      <c r="K164" s="3" t="s">
        <v>833</v>
      </c>
      <c r="L164" t="s">
        <v>1071</v>
      </c>
      <c r="M164" t="s">
        <v>1072</v>
      </c>
      <c r="N164" t="s">
        <v>1073</v>
      </c>
      <c r="O164" t="s">
        <v>1074</v>
      </c>
      <c r="P164" t="s">
        <v>1075</v>
      </c>
      <c r="Q164" t="s">
        <v>1076</v>
      </c>
      <c r="R164" t="s">
        <v>1077</v>
      </c>
      <c r="S164" t="s">
        <v>1078</v>
      </c>
      <c r="T164" t="s">
        <v>1079</v>
      </c>
      <c r="U164" t="s">
        <v>1080</v>
      </c>
      <c r="V164" t="s">
        <v>1081</v>
      </c>
      <c r="W164" t="s">
        <v>1082</v>
      </c>
      <c r="X164">
        <v>20240630</v>
      </c>
      <c r="Y164" t="s">
        <v>1083</v>
      </c>
      <c r="Z164" t="s">
        <v>1084</v>
      </c>
      <c r="AA164" s="11" t="str">
        <f t="shared" si="2"/>
        <v>EXEC [dbo].[BalanceGeneralInsertar] @Nivel ='Auxiliar',@Transaccional ='Sí',@CodigoCuentaContable ='13551814', @NombreCuentaContable ='Devolución Rete Ica 4',@Identificacion ='899999061',@Sucursal ='',@NombreTercero ='Secretaría Distrital de Hacienda',@SaldoInicial = 18236.7,@MovimientoDebito = 0,@MovimientoCredito =0,@SaldoFinal = 0,@Fecha ='20240630',@IdentificacionCliente = '901434038';</v>
      </c>
      <c r="AB164" t="s">
        <v>1085</v>
      </c>
    </row>
    <row r="165" spans="1:28" x14ac:dyDescent="0.25">
      <c r="A165" s="2" t="s">
        <v>28</v>
      </c>
      <c r="B165" s="2" t="s">
        <v>29</v>
      </c>
      <c r="C165" s="2" t="s">
        <v>198</v>
      </c>
      <c r="D165" s="2" t="s">
        <v>199</v>
      </c>
      <c r="E165" s="2" t="s">
        <v>103</v>
      </c>
      <c r="F165" s="2"/>
      <c r="G165" s="2" t="s">
        <v>104</v>
      </c>
      <c r="H165" s="3" t="s">
        <v>834</v>
      </c>
      <c r="I165" s="3">
        <v>0</v>
      </c>
      <c r="J165" s="3">
        <v>0</v>
      </c>
      <c r="K165" s="3" t="s">
        <v>834</v>
      </c>
      <c r="L165" t="s">
        <v>1071</v>
      </c>
      <c r="M165" t="s">
        <v>1072</v>
      </c>
      <c r="N165" t="s">
        <v>1073</v>
      </c>
      <c r="O165" t="s">
        <v>1074</v>
      </c>
      <c r="P165" t="s">
        <v>1075</v>
      </c>
      <c r="Q165" t="s">
        <v>1076</v>
      </c>
      <c r="R165" t="s">
        <v>1077</v>
      </c>
      <c r="S165" t="s">
        <v>1078</v>
      </c>
      <c r="T165" t="s">
        <v>1079</v>
      </c>
      <c r="U165" t="s">
        <v>1080</v>
      </c>
      <c r="V165" t="s">
        <v>1081</v>
      </c>
      <c r="W165" t="s">
        <v>1082</v>
      </c>
      <c r="X165">
        <v>20240630</v>
      </c>
      <c r="Y165" t="s">
        <v>1083</v>
      </c>
      <c r="Z165" t="s">
        <v>1084</v>
      </c>
      <c r="AA165" s="11" t="str">
        <f t="shared" si="2"/>
        <v>EXEC [dbo].[BalanceGeneralInsertar] @Nivel ='Auxiliar',@Transaccional ='Sí',@CodigoCuentaContable ='13551814', @NombreCuentaContable ='Devolución Rete Ica 4',@Identificacion ='900297847',@Sucursal ='',@NombreTercero ='CENTRO CONTRA EFECTOS DE LA EDAD S.A.S',@SaldoInicial = -18236.7,@MovimientoDebito = 0,@MovimientoCredito =0,@SaldoFinal = 0,@Fecha ='20240630',@IdentificacionCliente = '901434038';</v>
      </c>
      <c r="AB165" t="s">
        <v>1085</v>
      </c>
    </row>
    <row r="166" spans="1:28" x14ac:dyDescent="0.25">
      <c r="A166" s="2" t="s">
        <v>25</v>
      </c>
      <c r="B166" s="2" t="s">
        <v>16</v>
      </c>
      <c r="C166" s="2" t="s">
        <v>200</v>
      </c>
      <c r="D166" s="2" t="s">
        <v>201</v>
      </c>
      <c r="E166" s="2"/>
      <c r="F166" s="2"/>
      <c r="G166" s="2"/>
      <c r="H166" s="3">
        <v>0</v>
      </c>
      <c r="I166" s="3">
        <v>0</v>
      </c>
      <c r="J166" s="3">
        <v>0</v>
      </c>
      <c r="K166" s="3">
        <v>0</v>
      </c>
      <c r="L166" t="s">
        <v>1071</v>
      </c>
      <c r="M166" t="s">
        <v>1072</v>
      </c>
      <c r="N166" t="s">
        <v>1073</v>
      </c>
      <c r="O166" t="s">
        <v>1074</v>
      </c>
      <c r="P166" t="s">
        <v>1075</v>
      </c>
      <c r="Q166" t="s">
        <v>1076</v>
      </c>
      <c r="R166" t="s">
        <v>1077</v>
      </c>
      <c r="S166" t="s">
        <v>1078</v>
      </c>
      <c r="T166" t="s">
        <v>1079</v>
      </c>
      <c r="U166" t="s">
        <v>1080</v>
      </c>
      <c r="V166" t="s">
        <v>1081</v>
      </c>
      <c r="W166" t="s">
        <v>1082</v>
      </c>
      <c r="X166">
        <v>20240630</v>
      </c>
      <c r="Y166" t="s">
        <v>1083</v>
      </c>
      <c r="Z166" t="s">
        <v>1084</v>
      </c>
      <c r="AA166" s="11" t="str">
        <f t="shared" si="2"/>
        <v>EXEC [dbo].[BalanceGeneralInsertar] @Nivel ='Subcuenta',@Transaccional ='No',@CodigoCuentaContable ='135519', @NombreCuentaContable ='Autorrenta 0.8',@Identificacion ='',@Sucursal ='',@NombreTercero ='',@SaldoInicial = 0,@MovimientoDebito = 0,@MovimientoCredito =0,@SaldoFinal = 0,@Fecha ='20240630',@IdentificacionCliente = '901434038';</v>
      </c>
      <c r="AB166" t="s">
        <v>1085</v>
      </c>
    </row>
    <row r="167" spans="1:28" x14ac:dyDescent="0.25">
      <c r="A167" s="2" t="s">
        <v>28</v>
      </c>
      <c r="B167" s="2" t="s">
        <v>29</v>
      </c>
      <c r="C167" s="2" t="s">
        <v>202</v>
      </c>
      <c r="D167" s="2" t="s">
        <v>201</v>
      </c>
      <c r="E167" s="2" t="s">
        <v>35</v>
      </c>
      <c r="F167" s="2"/>
      <c r="G167" s="2" t="s">
        <v>36</v>
      </c>
      <c r="H167" s="3" t="s">
        <v>835</v>
      </c>
      <c r="I167" s="3">
        <v>0</v>
      </c>
      <c r="J167" s="3">
        <v>0</v>
      </c>
      <c r="K167" s="3" t="s">
        <v>835</v>
      </c>
      <c r="L167" t="s">
        <v>1071</v>
      </c>
      <c r="M167" t="s">
        <v>1072</v>
      </c>
      <c r="N167" t="s">
        <v>1073</v>
      </c>
      <c r="O167" t="s">
        <v>1074</v>
      </c>
      <c r="P167" t="s">
        <v>1075</v>
      </c>
      <c r="Q167" t="s">
        <v>1076</v>
      </c>
      <c r="R167" t="s">
        <v>1077</v>
      </c>
      <c r="S167" t="s">
        <v>1078</v>
      </c>
      <c r="T167" t="s">
        <v>1079</v>
      </c>
      <c r="U167" t="s">
        <v>1080</v>
      </c>
      <c r="V167" t="s">
        <v>1081</v>
      </c>
      <c r="W167" t="s">
        <v>1082</v>
      </c>
      <c r="X167">
        <v>20240630</v>
      </c>
      <c r="Y167" t="s">
        <v>1083</v>
      </c>
      <c r="Z167" t="s">
        <v>1084</v>
      </c>
      <c r="AA167" s="11" t="str">
        <f t="shared" si="2"/>
        <v>EXEC [dbo].[BalanceGeneralInsertar] @Nivel ='Auxiliar',@Transaccional ='Sí',@CodigoCuentaContable ='13551901', @NombreCuentaContable ='Autorrenta 0.8',@Identificacion ='890903938',@Sucursal ='',@NombreTercero ='Bancolombia',@SaldoInicial = 26.74,@MovimientoDebito = 0,@MovimientoCredito =0,@SaldoFinal = 0,@Fecha ='20240630',@IdentificacionCliente = '901434038';</v>
      </c>
      <c r="AB167" t="s">
        <v>1085</v>
      </c>
    </row>
    <row r="168" spans="1:28" x14ac:dyDescent="0.25">
      <c r="A168" s="2" t="s">
        <v>28</v>
      </c>
      <c r="B168" s="2" t="s">
        <v>29</v>
      </c>
      <c r="C168" s="2" t="s">
        <v>202</v>
      </c>
      <c r="D168" s="2" t="s">
        <v>201</v>
      </c>
      <c r="E168" s="2" t="s">
        <v>39</v>
      </c>
      <c r="F168" s="2"/>
      <c r="G168" s="2" t="s">
        <v>40</v>
      </c>
      <c r="H168" s="3" t="s">
        <v>836</v>
      </c>
      <c r="I168" s="3">
        <v>0</v>
      </c>
      <c r="J168" s="3">
        <v>0</v>
      </c>
      <c r="K168" s="3" t="s">
        <v>836</v>
      </c>
      <c r="L168" t="s">
        <v>1071</v>
      </c>
      <c r="M168" t="s">
        <v>1072</v>
      </c>
      <c r="N168" t="s">
        <v>1073</v>
      </c>
      <c r="O168" t="s">
        <v>1074</v>
      </c>
      <c r="P168" t="s">
        <v>1075</v>
      </c>
      <c r="Q168" t="s">
        <v>1076</v>
      </c>
      <c r="R168" t="s">
        <v>1077</v>
      </c>
      <c r="S168" t="s">
        <v>1078</v>
      </c>
      <c r="T168" t="s">
        <v>1079</v>
      </c>
      <c r="U168" t="s">
        <v>1080</v>
      </c>
      <c r="V168" t="s">
        <v>1081</v>
      </c>
      <c r="W168" t="s">
        <v>1082</v>
      </c>
      <c r="X168">
        <v>20240630</v>
      </c>
      <c r="Y168" t="s">
        <v>1083</v>
      </c>
      <c r="Z168" t="s">
        <v>1084</v>
      </c>
      <c r="AA168" s="11" t="str">
        <f t="shared" si="2"/>
        <v>EXEC [dbo].[BalanceGeneralInsertar] @Nivel ='Auxiliar',@Transaccional ='Sí',@CodigoCuentaContable ='13551901', @NombreCuentaContable ='Autorrenta 0.8',@Identificacion ='800197268',@Sucursal ='',@NombreTercero ='DIAN',@SaldoInicial = -3411454.64,@MovimientoDebito = 0,@MovimientoCredito =0,@SaldoFinal = 0,@Fecha ='20240630',@IdentificacionCliente = '901434038';</v>
      </c>
      <c r="AB168" t="s">
        <v>1085</v>
      </c>
    </row>
    <row r="169" spans="1:28" x14ac:dyDescent="0.25">
      <c r="A169" s="2" t="s">
        <v>28</v>
      </c>
      <c r="B169" s="2" t="s">
        <v>29</v>
      </c>
      <c r="C169" s="2" t="s">
        <v>202</v>
      </c>
      <c r="D169" s="2" t="s">
        <v>201</v>
      </c>
      <c r="E169" s="2" t="s">
        <v>115</v>
      </c>
      <c r="F169" s="2"/>
      <c r="G169" s="2" t="s">
        <v>116</v>
      </c>
      <c r="H169" s="3" t="s">
        <v>837</v>
      </c>
      <c r="I169" s="3">
        <v>0</v>
      </c>
      <c r="J169" s="3">
        <v>0</v>
      </c>
      <c r="K169" s="3" t="s">
        <v>837</v>
      </c>
      <c r="L169" t="s">
        <v>1071</v>
      </c>
      <c r="M169" t="s">
        <v>1072</v>
      </c>
      <c r="N169" t="s">
        <v>1073</v>
      </c>
      <c r="O169" t="s">
        <v>1074</v>
      </c>
      <c r="P169" t="s">
        <v>1075</v>
      </c>
      <c r="Q169" t="s">
        <v>1076</v>
      </c>
      <c r="R169" t="s">
        <v>1077</v>
      </c>
      <c r="S169" t="s">
        <v>1078</v>
      </c>
      <c r="T169" t="s">
        <v>1079</v>
      </c>
      <c r="U169" t="s">
        <v>1080</v>
      </c>
      <c r="V169" t="s">
        <v>1081</v>
      </c>
      <c r="W169" t="s">
        <v>1082</v>
      </c>
      <c r="X169">
        <v>20240630</v>
      </c>
      <c r="Y169" t="s">
        <v>1083</v>
      </c>
      <c r="Z169" t="s">
        <v>1084</v>
      </c>
      <c r="AA169" s="11" t="str">
        <f t="shared" si="2"/>
        <v>EXEC [dbo].[BalanceGeneralInsertar] @Nivel ='Auxiliar',@Transaccional ='Sí',@CodigoCuentaContable ='13551901', @NombreCuentaContable ='Autorrenta 0.8',@Identificacion ='901093584',@Sucursal ='',@NombreTercero ='VITTI S A S',@SaldoInicial = 1042040.06,@MovimientoDebito = 0,@MovimientoCredito =0,@SaldoFinal = 0,@Fecha ='20240630',@IdentificacionCliente = '901434038';</v>
      </c>
      <c r="AB169" t="s">
        <v>1085</v>
      </c>
    </row>
    <row r="170" spans="1:28" x14ac:dyDescent="0.25">
      <c r="A170" s="2" t="s">
        <v>28</v>
      </c>
      <c r="B170" s="2" t="s">
        <v>29</v>
      </c>
      <c r="C170" s="2" t="s">
        <v>202</v>
      </c>
      <c r="D170" s="2" t="s">
        <v>201</v>
      </c>
      <c r="E170" s="2" t="s">
        <v>103</v>
      </c>
      <c r="F170" s="2"/>
      <c r="G170" s="2" t="s">
        <v>104</v>
      </c>
      <c r="H170" s="3" t="s">
        <v>838</v>
      </c>
      <c r="I170" s="3">
        <v>0</v>
      </c>
      <c r="J170" s="3">
        <v>0</v>
      </c>
      <c r="K170" s="3" t="s">
        <v>838</v>
      </c>
      <c r="L170" t="s">
        <v>1071</v>
      </c>
      <c r="M170" t="s">
        <v>1072</v>
      </c>
      <c r="N170" t="s">
        <v>1073</v>
      </c>
      <c r="O170" t="s">
        <v>1074</v>
      </c>
      <c r="P170" t="s">
        <v>1075</v>
      </c>
      <c r="Q170" t="s">
        <v>1076</v>
      </c>
      <c r="R170" t="s">
        <v>1077</v>
      </c>
      <c r="S170" t="s">
        <v>1078</v>
      </c>
      <c r="T170" t="s">
        <v>1079</v>
      </c>
      <c r="U170" t="s">
        <v>1080</v>
      </c>
      <c r="V170" t="s">
        <v>1081</v>
      </c>
      <c r="W170" t="s">
        <v>1082</v>
      </c>
      <c r="X170">
        <v>20240630</v>
      </c>
      <c r="Y170" t="s">
        <v>1083</v>
      </c>
      <c r="Z170" t="s">
        <v>1084</v>
      </c>
      <c r="AA170" s="11" t="str">
        <f t="shared" si="2"/>
        <v>EXEC [dbo].[BalanceGeneralInsertar] @Nivel ='Auxiliar',@Transaccional ='Sí',@CodigoCuentaContable ='13551901', @NombreCuentaContable ='Autorrenta 0.8',@Identificacion ='900297847',@Sucursal ='',@NombreTercero ='CENTRO CONTRA EFECTOS DE LA EDAD S.A.S',@SaldoInicial = 502761.56,@MovimientoDebito = 0,@MovimientoCredito =0,@SaldoFinal = 0,@Fecha ='20240630',@IdentificacionCliente = '901434038';</v>
      </c>
      <c r="AB170" t="s">
        <v>1085</v>
      </c>
    </row>
    <row r="171" spans="1:28" x14ac:dyDescent="0.25">
      <c r="A171" s="2" t="s">
        <v>28</v>
      </c>
      <c r="B171" s="2" t="s">
        <v>29</v>
      </c>
      <c r="C171" s="2" t="s">
        <v>202</v>
      </c>
      <c r="D171" s="2" t="s">
        <v>201</v>
      </c>
      <c r="E171" s="2" t="s">
        <v>105</v>
      </c>
      <c r="F171" s="2"/>
      <c r="G171" s="2" t="s">
        <v>106</v>
      </c>
      <c r="H171" s="3" t="s">
        <v>839</v>
      </c>
      <c r="I171" s="3">
        <v>0</v>
      </c>
      <c r="J171" s="3">
        <v>0</v>
      </c>
      <c r="K171" s="3" t="s">
        <v>839</v>
      </c>
      <c r="L171" t="s">
        <v>1071</v>
      </c>
      <c r="M171" t="s">
        <v>1072</v>
      </c>
      <c r="N171" t="s">
        <v>1073</v>
      </c>
      <c r="O171" t="s">
        <v>1074</v>
      </c>
      <c r="P171" t="s">
        <v>1075</v>
      </c>
      <c r="Q171" t="s">
        <v>1076</v>
      </c>
      <c r="R171" t="s">
        <v>1077</v>
      </c>
      <c r="S171" t="s">
        <v>1078</v>
      </c>
      <c r="T171" t="s">
        <v>1079</v>
      </c>
      <c r="U171" t="s">
        <v>1080</v>
      </c>
      <c r="V171" t="s">
        <v>1081</v>
      </c>
      <c r="W171" t="s">
        <v>1082</v>
      </c>
      <c r="X171">
        <v>20240630</v>
      </c>
      <c r="Y171" t="s">
        <v>1083</v>
      </c>
      <c r="Z171" t="s">
        <v>1084</v>
      </c>
      <c r="AA171" s="11" t="str">
        <f t="shared" si="2"/>
        <v>EXEC [dbo].[BalanceGeneralInsertar] @Nivel ='Auxiliar',@Transaccional ='Sí',@CodigoCuentaContable ='13551901', @NombreCuentaContable ='Autorrenta 0.8',@Identificacion ='901000155',@Sucursal ='',@NombreTercero ='DELUXE BY CRISTINA JARAMILLO S.A.S',@SaldoInicial = 582619.98,@MovimientoDebito = 0,@MovimientoCredito =0,@SaldoFinal = 0,@Fecha ='20240630',@IdentificacionCliente = '901434038';</v>
      </c>
      <c r="AB171" t="s">
        <v>1085</v>
      </c>
    </row>
    <row r="172" spans="1:28" x14ac:dyDescent="0.25">
      <c r="A172" s="2" t="s">
        <v>28</v>
      </c>
      <c r="B172" s="2" t="s">
        <v>29</v>
      </c>
      <c r="C172" s="2" t="s">
        <v>202</v>
      </c>
      <c r="D172" s="2" t="s">
        <v>201</v>
      </c>
      <c r="E172" s="2" t="s">
        <v>141</v>
      </c>
      <c r="F172" s="2"/>
      <c r="G172" s="2" t="s">
        <v>142</v>
      </c>
      <c r="H172" s="3">
        <v>67227</v>
      </c>
      <c r="I172" s="3">
        <v>0</v>
      </c>
      <c r="J172" s="3">
        <v>0</v>
      </c>
      <c r="K172" s="3">
        <v>67227</v>
      </c>
      <c r="L172" t="s">
        <v>1071</v>
      </c>
      <c r="M172" t="s">
        <v>1072</v>
      </c>
      <c r="N172" t="s">
        <v>1073</v>
      </c>
      <c r="O172" t="s">
        <v>1074</v>
      </c>
      <c r="P172" t="s">
        <v>1075</v>
      </c>
      <c r="Q172" t="s">
        <v>1076</v>
      </c>
      <c r="R172" t="s">
        <v>1077</v>
      </c>
      <c r="S172" t="s">
        <v>1078</v>
      </c>
      <c r="T172" t="s">
        <v>1079</v>
      </c>
      <c r="U172" t="s">
        <v>1080</v>
      </c>
      <c r="V172" t="s">
        <v>1081</v>
      </c>
      <c r="W172" t="s">
        <v>1082</v>
      </c>
      <c r="X172">
        <v>20240630</v>
      </c>
      <c r="Y172" t="s">
        <v>1083</v>
      </c>
      <c r="Z172" t="s">
        <v>1084</v>
      </c>
      <c r="AA172" s="11" t="str">
        <f t="shared" si="2"/>
        <v>EXEC [dbo].[BalanceGeneralInsertar] @Nivel ='Auxiliar',@Transaccional ='Sí',@CodigoCuentaContable ='13551901', @NombreCuentaContable ='Autorrenta 0.8',@Identificacion ='901451874',@Sucursal ='',@NombreTercero ='CABARCAS GROUP S.A.S.',@SaldoInicial = 67227,@MovimientoDebito = 0,@MovimientoCredito =0,@SaldoFinal = 0,@Fecha ='20240630',@IdentificacionCliente = '901434038';</v>
      </c>
      <c r="AB172" t="s">
        <v>1085</v>
      </c>
    </row>
    <row r="173" spans="1:28" x14ac:dyDescent="0.25">
      <c r="A173" s="2" t="s">
        <v>28</v>
      </c>
      <c r="B173" s="2" t="s">
        <v>29</v>
      </c>
      <c r="C173" s="2" t="s">
        <v>202</v>
      </c>
      <c r="D173" s="2" t="s">
        <v>201</v>
      </c>
      <c r="E173" s="2" t="s">
        <v>83</v>
      </c>
      <c r="F173" s="2"/>
      <c r="G173" s="2" t="s">
        <v>84</v>
      </c>
      <c r="H173" s="3">
        <v>169309</v>
      </c>
      <c r="I173" s="3">
        <v>0</v>
      </c>
      <c r="J173" s="3">
        <v>0</v>
      </c>
      <c r="K173" s="3">
        <v>169309</v>
      </c>
      <c r="L173" t="s">
        <v>1071</v>
      </c>
      <c r="M173" t="s">
        <v>1072</v>
      </c>
      <c r="N173" t="s">
        <v>1073</v>
      </c>
      <c r="O173" t="s">
        <v>1074</v>
      </c>
      <c r="P173" t="s">
        <v>1075</v>
      </c>
      <c r="Q173" t="s">
        <v>1076</v>
      </c>
      <c r="R173" t="s">
        <v>1077</v>
      </c>
      <c r="S173" t="s">
        <v>1078</v>
      </c>
      <c r="T173" t="s">
        <v>1079</v>
      </c>
      <c r="U173" t="s">
        <v>1080</v>
      </c>
      <c r="V173" t="s">
        <v>1081</v>
      </c>
      <c r="W173" t="s">
        <v>1082</v>
      </c>
      <c r="X173">
        <v>20240630</v>
      </c>
      <c r="Y173" t="s">
        <v>1083</v>
      </c>
      <c r="Z173" t="s">
        <v>1084</v>
      </c>
      <c r="AA173" s="11" t="str">
        <f t="shared" si="2"/>
        <v>EXEC [dbo].[BalanceGeneralInsertar] @Nivel ='Auxiliar',@Transaccional ='Sí',@CodigoCuentaContable ='13551901', @NombreCuentaContable ='Autorrenta 0.8',@Identificacion ='830081040',@Sucursal ='',@NombreTercero ='INSTITUTO DE ESTETICA MEDICA DE COLOMBIA LTDA.',@SaldoInicial = 169309,@MovimientoDebito = 0,@MovimientoCredito =0,@SaldoFinal = 0,@Fecha ='20240630',@IdentificacionCliente = '901434038';</v>
      </c>
      <c r="AB173" t="s">
        <v>1085</v>
      </c>
    </row>
    <row r="174" spans="1:28" x14ac:dyDescent="0.25">
      <c r="A174" s="2" t="s">
        <v>28</v>
      </c>
      <c r="B174" s="2" t="s">
        <v>29</v>
      </c>
      <c r="C174" s="2" t="s">
        <v>202</v>
      </c>
      <c r="D174" s="2" t="s">
        <v>201</v>
      </c>
      <c r="E174" s="2" t="s">
        <v>95</v>
      </c>
      <c r="F174" s="2"/>
      <c r="G174" s="2" t="s">
        <v>96</v>
      </c>
      <c r="H174" s="3">
        <v>7016</v>
      </c>
      <c r="I174" s="3">
        <v>0</v>
      </c>
      <c r="J174" s="3">
        <v>0</v>
      </c>
      <c r="K174" s="3">
        <v>7016</v>
      </c>
      <c r="L174" t="s">
        <v>1071</v>
      </c>
      <c r="M174" t="s">
        <v>1072</v>
      </c>
      <c r="N174" t="s">
        <v>1073</v>
      </c>
      <c r="O174" t="s">
        <v>1074</v>
      </c>
      <c r="P174" t="s">
        <v>1075</v>
      </c>
      <c r="Q174" t="s">
        <v>1076</v>
      </c>
      <c r="R174" t="s">
        <v>1077</v>
      </c>
      <c r="S174" t="s">
        <v>1078</v>
      </c>
      <c r="T174" t="s">
        <v>1079</v>
      </c>
      <c r="U174" t="s">
        <v>1080</v>
      </c>
      <c r="V174" t="s">
        <v>1081</v>
      </c>
      <c r="W174" t="s">
        <v>1082</v>
      </c>
      <c r="X174">
        <v>20240630</v>
      </c>
      <c r="Y174" t="s">
        <v>1083</v>
      </c>
      <c r="Z174" t="s">
        <v>1084</v>
      </c>
      <c r="AA174" s="11" t="str">
        <f t="shared" si="2"/>
        <v>EXEC [dbo].[BalanceGeneralInsertar] @Nivel ='Auxiliar',@Transaccional ='Sí',@CodigoCuentaContable ='13551901', @NombreCuentaContable ='Autorrenta 0.8',@Identificacion ='900362559',@Sucursal ='',@NombreTercero ='INSTITUTO DE CIRUGÍA PLÁSTICA RECONSTRUCTIVA Y SALUD ESTÉTICAVITALUM I.P.S S.A.S',@SaldoInicial = 7016,@MovimientoDebito = 0,@MovimientoCredito =0,@SaldoFinal = 0,@Fecha ='20240630',@IdentificacionCliente = '901434038';</v>
      </c>
      <c r="AB174" t="s">
        <v>1085</v>
      </c>
    </row>
    <row r="175" spans="1:28" x14ac:dyDescent="0.25">
      <c r="A175" s="2" t="s">
        <v>28</v>
      </c>
      <c r="B175" s="2" t="s">
        <v>29</v>
      </c>
      <c r="C175" s="2" t="s">
        <v>202</v>
      </c>
      <c r="D175" s="2" t="s">
        <v>201</v>
      </c>
      <c r="E175" s="2" t="s">
        <v>97</v>
      </c>
      <c r="F175" s="2"/>
      <c r="G175" s="2" t="s">
        <v>98</v>
      </c>
      <c r="H175" s="3" t="s">
        <v>840</v>
      </c>
      <c r="I175" s="3">
        <v>0</v>
      </c>
      <c r="J175" s="3">
        <v>0</v>
      </c>
      <c r="K175" s="3" t="s">
        <v>840</v>
      </c>
      <c r="L175" t="s">
        <v>1071</v>
      </c>
      <c r="M175" t="s">
        <v>1072</v>
      </c>
      <c r="N175" t="s">
        <v>1073</v>
      </c>
      <c r="O175" t="s">
        <v>1074</v>
      </c>
      <c r="P175" t="s">
        <v>1075</v>
      </c>
      <c r="Q175" t="s">
        <v>1076</v>
      </c>
      <c r="R175" t="s">
        <v>1077</v>
      </c>
      <c r="S175" t="s">
        <v>1078</v>
      </c>
      <c r="T175" t="s">
        <v>1079</v>
      </c>
      <c r="U175" t="s">
        <v>1080</v>
      </c>
      <c r="V175" t="s">
        <v>1081</v>
      </c>
      <c r="W175" t="s">
        <v>1082</v>
      </c>
      <c r="X175">
        <v>20240630</v>
      </c>
      <c r="Y175" t="s">
        <v>1083</v>
      </c>
      <c r="Z175" t="s">
        <v>1084</v>
      </c>
      <c r="AA175" s="11" t="str">
        <f t="shared" si="2"/>
        <v>EXEC [dbo].[BalanceGeneralInsertar] @Nivel ='Auxiliar',@Transaccional ='Sí',@CodigoCuentaContable ='13551901', @NombreCuentaContable ='Autorrenta 0.8',@Identificacion ='32936199',@Sucursal ='',@NombreTercero ='ALEIDA MARIA GIRALDO CASTRO',@SaldoInicial = 27554.6,@MovimientoDebito = 0,@MovimientoCredito =0,@SaldoFinal = 0,@Fecha ='20240630',@IdentificacionCliente = '901434038';</v>
      </c>
      <c r="AB175" t="s">
        <v>1085</v>
      </c>
    </row>
    <row r="176" spans="1:28" x14ac:dyDescent="0.25">
      <c r="A176" s="2" t="s">
        <v>28</v>
      </c>
      <c r="B176" s="2" t="s">
        <v>29</v>
      </c>
      <c r="C176" s="2" t="s">
        <v>202</v>
      </c>
      <c r="D176" s="2" t="s">
        <v>201</v>
      </c>
      <c r="E176" s="2" t="s">
        <v>77</v>
      </c>
      <c r="F176" s="2"/>
      <c r="G176" s="2" t="s">
        <v>78</v>
      </c>
      <c r="H176" s="3">
        <v>32000</v>
      </c>
      <c r="I176" s="3">
        <v>0</v>
      </c>
      <c r="J176" s="3">
        <v>0</v>
      </c>
      <c r="K176" s="3">
        <v>32000</v>
      </c>
      <c r="L176" t="s">
        <v>1071</v>
      </c>
      <c r="M176" t="s">
        <v>1072</v>
      </c>
      <c r="N176" t="s">
        <v>1073</v>
      </c>
      <c r="O176" t="s">
        <v>1074</v>
      </c>
      <c r="P176" t="s">
        <v>1075</v>
      </c>
      <c r="Q176" t="s">
        <v>1076</v>
      </c>
      <c r="R176" t="s">
        <v>1077</v>
      </c>
      <c r="S176" t="s">
        <v>1078</v>
      </c>
      <c r="T176" t="s">
        <v>1079</v>
      </c>
      <c r="U176" t="s">
        <v>1080</v>
      </c>
      <c r="V176" t="s">
        <v>1081</v>
      </c>
      <c r="W176" t="s">
        <v>1082</v>
      </c>
      <c r="X176">
        <v>20240630</v>
      </c>
      <c r="Y176" t="s">
        <v>1083</v>
      </c>
      <c r="Z176" t="s">
        <v>1084</v>
      </c>
      <c r="AA176" s="11" t="str">
        <f t="shared" si="2"/>
        <v>EXEC [dbo].[BalanceGeneralInsertar] @Nivel ='Auxiliar',@Transaccional ='Sí',@CodigoCuentaContable ='13551901', @NombreCuentaContable ='Autorrenta 0.8',@Identificacion ='900161580',@Sucursal ='',@NombreTercero ='ORGANIZACION SANTAMARIA SAS',@SaldoInicial = 32000,@MovimientoDebito = 0,@MovimientoCredito =0,@SaldoFinal = 0,@Fecha ='20240630',@IdentificacionCliente = '901434038';</v>
      </c>
      <c r="AB176" t="s">
        <v>1085</v>
      </c>
    </row>
    <row r="177" spans="1:28" x14ac:dyDescent="0.25">
      <c r="A177" s="2" t="s">
        <v>28</v>
      </c>
      <c r="B177" s="2" t="s">
        <v>29</v>
      </c>
      <c r="C177" s="2" t="s">
        <v>202</v>
      </c>
      <c r="D177" s="2" t="s">
        <v>201</v>
      </c>
      <c r="E177" s="2" t="s">
        <v>139</v>
      </c>
      <c r="F177" s="2"/>
      <c r="G177" s="2" t="s">
        <v>140</v>
      </c>
      <c r="H177" s="3">
        <v>194700</v>
      </c>
      <c r="I177" s="3">
        <v>0</v>
      </c>
      <c r="J177" s="3">
        <v>0</v>
      </c>
      <c r="K177" s="3">
        <v>194700</v>
      </c>
      <c r="L177" t="s">
        <v>1071</v>
      </c>
      <c r="M177" t="s">
        <v>1072</v>
      </c>
      <c r="N177" t="s">
        <v>1073</v>
      </c>
      <c r="O177" t="s">
        <v>1074</v>
      </c>
      <c r="P177" t="s">
        <v>1075</v>
      </c>
      <c r="Q177" t="s">
        <v>1076</v>
      </c>
      <c r="R177" t="s">
        <v>1077</v>
      </c>
      <c r="S177" t="s">
        <v>1078</v>
      </c>
      <c r="T177" t="s">
        <v>1079</v>
      </c>
      <c r="U177" t="s">
        <v>1080</v>
      </c>
      <c r="V177" t="s">
        <v>1081</v>
      </c>
      <c r="W177" t="s">
        <v>1082</v>
      </c>
      <c r="X177">
        <v>20240630</v>
      </c>
      <c r="Y177" t="s">
        <v>1083</v>
      </c>
      <c r="Z177" t="s">
        <v>1084</v>
      </c>
      <c r="AA177" s="11" t="str">
        <f t="shared" si="2"/>
        <v>EXEC [dbo].[BalanceGeneralInsertar] @Nivel ='Auxiliar',@Transaccional ='Sí',@CodigoCuentaContable ='13551901', @NombreCuentaContable ='Autorrenta 0.8',@Identificacion ='900347399',@Sucursal ='',@NombreTercero ='EXPORT HEALTH SAS',@SaldoInicial = 194700,@MovimientoDebito = 0,@MovimientoCredito =0,@SaldoFinal = 0,@Fecha ='20240630',@IdentificacionCliente = '901434038';</v>
      </c>
      <c r="AB177" t="s">
        <v>1085</v>
      </c>
    </row>
    <row r="178" spans="1:28" x14ac:dyDescent="0.25">
      <c r="A178" s="2" t="s">
        <v>28</v>
      </c>
      <c r="B178" s="2" t="s">
        <v>29</v>
      </c>
      <c r="C178" s="2" t="s">
        <v>202</v>
      </c>
      <c r="D178" s="2" t="s">
        <v>201</v>
      </c>
      <c r="E178" s="2" t="s">
        <v>79</v>
      </c>
      <c r="F178" s="2"/>
      <c r="G178" s="2" t="s">
        <v>80</v>
      </c>
      <c r="H178" s="3">
        <v>52980</v>
      </c>
      <c r="I178" s="3">
        <v>0</v>
      </c>
      <c r="J178" s="3">
        <v>0</v>
      </c>
      <c r="K178" s="3">
        <v>52980</v>
      </c>
      <c r="L178" t="s">
        <v>1071</v>
      </c>
      <c r="M178" t="s">
        <v>1072</v>
      </c>
      <c r="N178" t="s">
        <v>1073</v>
      </c>
      <c r="O178" t="s">
        <v>1074</v>
      </c>
      <c r="P178" t="s">
        <v>1075</v>
      </c>
      <c r="Q178" t="s">
        <v>1076</v>
      </c>
      <c r="R178" t="s">
        <v>1077</v>
      </c>
      <c r="S178" t="s">
        <v>1078</v>
      </c>
      <c r="T178" t="s">
        <v>1079</v>
      </c>
      <c r="U178" t="s">
        <v>1080</v>
      </c>
      <c r="V178" t="s">
        <v>1081</v>
      </c>
      <c r="W178" t="s">
        <v>1082</v>
      </c>
      <c r="X178">
        <v>20240630</v>
      </c>
      <c r="Y178" t="s">
        <v>1083</v>
      </c>
      <c r="Z178" t="s">
        <v>1084</v>
      </c>
      <c r="AA178" s="11" t="str">
        <f t="shared" si="2"/>
        <v>EXEC [dbo].[BalanceGeneralInsertar] @Nivel ='Auxiliar',@Transaccional ='Sí',@CodigoCuentaContable ='13551901', @NombreCuentaContable ='Autorrenta 0.8',@Identificacion ='901456421',@Sucursal ='',@NombreTercero ='DELUXE ORIENTE S.A.S',@SaldoInicial = 52980,@MovimientoDebito = 0,@MovimientoCredito =0,@SaldoFinal = 0,@Fecha ='20240630',@IdentificacionCliente = '901434038';</v>
      </c>
      <c r="AB178" t="s">
        <v>1085</v>
      </c>
    </row>
    <row r="179" spans="1:28" x14ac:dyDescent="0.25">
      <c r="A179" s="2" t="s">
        <v>28</v>
      </c>
      <c r="B179" s="2" t="s">
        <v>29</v>
      </c>
      <c r="C179" s="2" t="s">
        <v>202</v>
      </c>
      <c r="D179" s="2" t="s">
        <v>201</v>
      </c>
      <c r="E179" s="2" t="s">
        <v>81</v>
      </c>
      <c r="F179" s="2"/>
      <c r="G179" s="2" t="s">
        <v>82</v>
      </c>
      <c r="H179" s="3">
        <v>38000</v>
      </c>
      <c r="I179" s="3">
        <v>0</v>
      </c>
      <c r="J179" s="3">
        <v>0</v>
      </c>
      <c r="K179" s="3">
        <v>38000</v>
      </c>
      <c r="L179" t="s">
        <v>1071</v>
      </c>
      <c r="M179" t="s">
        <v>1072</v>
      </c>
      <c r="N179" t="s">
        <v>1073</v>
      </c>
      <c r="O179" t="s">
        <v>1074</v>
      </c>
      <c r="P179" t="s">
        <v>1075</v>
      </c>
      <c r="Q179" t="s">
        <v>1076</v>
      </c>
      <c r="R179" t="s">
        <v>1077</v>
      </c>
      <c r="S179" t="s">
        <v>1078</v>
      </c>
      <c r="T179" t="s">
        <v>1079</v>
      </c>
      <c r="U179" t="s">
        <v>1080</v>
      </c>
      <c r="V179" t="s">
        <v>1081</v>
      </c>
      <c r="W179" t="s">
        <v>1082</v>
      </c>
      <c r="X179">
        <v>20240630</v>
      </c>
      <c r="Y179" t="s">
        <v>1083</v>
      </c>
      <c r="Z179" t="s">
        <v>1084</v>
      </c>
      <c r="AA179" s="11" t="str">
        <f t="shared" si="2"/>
        <v>EXEC [dbo].[BalanceGeneralInsertar] @Nivel ='Auxiliar',@Transaccional ='Sí',@CodigoCuentaContable ='13551901', @NombreCuentaContable ='Autorrenta 0.8',@Identificacion ='1067897357',@Sucursal ='',@NombreTercero ='KATERINE SAEZ ZABALETA',@SaldoInicial = 38000,@MovimientoDebito = 0,@MovimientoCredito =0,@SaldoFinal = 0,@Fecha ='20240630',@IdentificacionCliente = '901434038';</v>
      </c>
      <c r="AB179" t="s">
        <v>1085</v>
      </c>
    </row>
    <row r="180" spans="1:28" x14ac:dyDescent="0.25">
      <c r="A180" s="2" t="s">
        <v>28</v>
      </c>
      <c r="B180" s="2" t="s">
        <v>29</v>
      </c>
      <c r="C180" s="2" t="s">
        <v>202</v>
      </c>
      <c r="D180" s="2" t="s">
        <v>201</v>
      </c>
      <c r="E180" s="2" t="s">
        <v>107</v>
      </c>
      <c r="F180" s="2"/>
      <c r="G180" s="2" t="s">
        <v>108</v>
      </c>
      <c r="H180" s="3" t="s">
        <v>841</v>
      </c>
      <c r="I180" s="3">
        <v>0</v>
      </c>
      <c r="J180" s="3">
        <v>0</v>
      </c>
      <c r="K180" s="3" t="s">
        <v>841</v>
      </c>
      <c r="L180" t="s">
        <v>1071</v>
      </c>
      <c r="M180" t="s">
        <v>1072</v>
      </c>
      <c r="N180" t="s">
        <v>1073</v>
      </c>
      <c r="O180" t="s">
        <v>1074</v>
      </c>
      <c r="P180" t="s">
        <v>1075</v>
      </c>
      <c r="Q180" t="s">
        <v>1076</v>
      </c>
      <c r="R180" t="s">
        <v>1077</v>
      </c>
      <c r="S180" t="s">
        <v>1078</v>
      </c>
      <c r="T180" t="s">
        <v>1079</v>
      </c>
      <c r="U180" t="s">
        <v>1080</v>
      </c>
      <c r="V180" t="s">
        <v>1081</v>
      </c>
      <c r="W180" t="s">
        <v>1082</v>
      </c>
      <c r="X180">
        <v>20240630</v>
      </c>
      <c r="Y180" t="s">
        <v>1083</v>
      </c>
      <c r="Z180" t="s">
        <v>1084</v>
      </c>
      <c r="AA180" s="11" t="str">
        <f t="shared" si="2"/>
        <v>EXEC [dbo].[BalanceGeneralInsertar] @Nivel ='Auxiliar',@Transaccional ='Sí',@CodigoCuentaContable ='13551901', @NombreCuentaContable ='Autorrenta 0.8',@Identificacion ='860531315',@Sucursal ='',@NombreTercero ='ALIANZA FIDUCIARIA S.A.',@SaldoInicial = 11134.46,@MovimientoDebito = 0,@MovimientoCredito =0,@SaldoFinal = 0,@Fecha ='20240630',@IdentificacionCliente = '901434038';</v>
      </c>
      <c r="AB180" t="s">
        <v>1085</v>
      </c>
    </row>
    <row r="181" spans="1:28" x14ac:dyDescent="0.25">
      <c r="A181" s="2" t="s">
        <v>28</v>
      </c>
      <c r="B181" s="2" t="s">
        <v>29</v>
      </c>
      <c r="C181" s="2" t="s">
        <v>202</v>
      </c>
      <c r="D181" s="2" t="s">
        <v>201</v>
      </c>
      <c r="E181" s="2" t="s">
        <v>109</v>
      </c>
      <c r="F181" s="2"/>
      <c r="G181" s="2" t="s">
        <v>110</v>
      </c>
      <c r="H181" s="3">
        <v>768</v>
      </c>
      <c r="I181" s="3">
        <v>0</v>
      </c>
      <c r="J181" s="3">
        <v>0</v>
      </c>
      <c r="K181" s="3">
        <v>768</v>
      </c>
      <c r="L181" t="s">
        <v>1071</v>
      </c>
      <c r="M181" t="s">
        <v>1072</v>
      </c>
      <c r="N181" t="s">
        <v>1073</v>
      </c>
      <c r="O181" t="s">
        <v>1074</v>
      </c>
      <c r="P181" t="s">
        <v>1075</v>
      </c>
      <c r="Q181" t="s">
        <v>1076</v>
      </c>
      <c r="R181" t="s">
        <v>1077</v>
      </c>
      <c r="S181" t="s">
        <v>1078</v>
      </c>
      <c r="T181" t="s">
        <v>1079</v>
      </c>
      <c r="U181" t="s">
        <v>1080</v>
      </c>
      <c r="V181" t="s">
        <v>1081</v>
      </c>
      <c r="W181" t="s">
        <v>1082</v>
      </c>
      <c r="X181">
        <v>20240630</v>
      </c>
      <c r="Y181" t="s">
        <v>1083</v>
      </c>
      <c r="Z181" t="s">
        <v>1084</v>
      </c>
      <c r="AA181" s="11" t="str">
        <f t="shared" si="2"/>
        <v>EXEC [dbo].[BalanceGeneralInsertar] @Nivel ='Auxiliar',@Transaccional ='Sí',@CodigoCuentaContable ='13551901', @NombreCuentaContable ='Autorrenta 0.8',@Identificacion ='53120695',@Sucursal ='',@NombreTercero ='ADRIANA MARCELA WALTEROS RINCON',@SaldoInicial = 768,@MovimientoDebito = 0,@MovimientoCredito =0,@SaldoFinal = 0,@Fecha ='20240630',@IdentificacionCliente = '901434038';</v>
      </c>
      <c r="AB181" t="s">
        <v>1085</v>
      </c>
    </row>
    <row r="182" spans="1:28" x14ac:dyDescent="0.25">
      <c r="A182" s="2" t="s">
        <v>28</v>
      </c>
      <c r="B182" s="2" t="s">
        <v>29</v>
      </c>
      <c r="C182" s="2" t="s">
        <v>202</v>
      </c>
      <c r="D182" s="2" t="s">
        <v>201</v>
      </c>
      <c r="E182" s="2" t="s">
        <v>87</v>
      </c>
      <c r="F182" s="2"/>
      <c r="G182" s="2" t="s">
        <v>88</v>
      </c>
      <c r="H182" s="3" t="s">
        <v>842</v>
      </c>
      <c r="I182" s="3">
        <v>0</v>
      </c>
      <c r="J182" s="3">
        <v>0</v>
      </c>
      <c r="K182" s="3" t="s">
        <v>842</v>
      </c>
      <c r="L182" t="s">
        <v>1071</v>
      </c>
      <c r="M182" t="s">
        <v>1072</v>
      </c>
      <c r="N182" t="s">
        <v>1073</v>
      </c>
      <c r="O182" t="s">
        <v>1074</v>
      </c>
      <c r="P182" t="s">
        <v>1075</v>
      </c>
      <c r="Q182" t="s">
        <v>1076</v>
      </c>
      <c r="R182" t="s">
        <v>1077</v>
      </c>
      <c r="S182" t="s">
        <v>1078</v>
      </c>
      <c r="T182" t="s">
        <v>1079</v>
      </c>
      <c r="U182" t="s">
        <v>1080</v>
      </c>
      <c r="V182" t="s">
        <v>1081</v>
      </c>
      <c r="W182" t="s">
        <v>1082</v>
      </c>
      <c r="X182">
        <v>20240630</v>
      </c>
      <c r="Y182" t="s">
        <v>1083</v>
      </c>
      <c r="Z182" t="s">
        <v>1084</v>
      </c>
      <c r="AA182" s="11" t="str">
        <f t="shared" si="2"/>
        <v>EXEC [dbo].[BalanceGeneralInsertar] @Nivel ='Auxiliar',@Transaccional ='Sí',@CodigoCuentaContable ='13551901', @NombreCuentaContable ='Autorrenta 0.8',@Identificacion ='830054539',@Sucursal ='',@NombreTercero ='FIDUCIARIA BANCOLOMBIA S.A',@SaldoInicial = 19.24,@MovimientoDebito = 0,@MovimientoCredito =0,@SaldoFinal = 0,@Fecha ='20240630',@IdentificacionCliente = '901434038';</v>
      </c>
      <c r="AB182" t="s">
        <v>1085</v>
      </c>
    </row>
    <row r="183" spans="1:28" x14ac:dyDescent="0.25">
      <c r="A183" s="2" t="s">
        <v>28</v>
      </c>
      <c r="B183" s="2" t="s">
        <v>29</v>
      </c>
      <c r="C183" s="2" t="s">
        <v>202</v>
      </c>
      <c r="D183" s="2" t="s">
        <v>201</v>
      </c>
      <c r="E183" s="2" t="s">
        <v>89</v>
      </c>
      <c r="F183" s="2"/>
      <c r="G183" s="2" t="s">
        <v>90</v>
      </c>
      <c r="H183" s="3">
        <v>542744</v>
      </c>
      <c r="I183" s="3">
        <v>0</v>
      </c>
      <c r="J183" s="3">
        <v>0</v>
      </c>
      <c r="K183" s="3">
        <v>542744</v>
      </c>
      <c r="L183" t="s">
        <v>1071</v>
      </c>
      <c r="M183" t="s">
        <v>1072</v>
      </c>
      <c r="N183" t="s">
        <v>1073</v>
      </c>
      <c r="O183" t="s">
        <v>1074</v>
      </c>
      <c r="P183" t="s">
        <v>1075</v>
      </c>
      <c r="Q183" t="s">
        <v>1076</v>
      </c>
      <c r="R183" t="s">
        <v>1077</v>
      </c>
      <c r="S183" t="s">
        <v>1078</v>
      </c>
      <c r="T183" t="s">
        <v>1079</v>
      </c>
      <c r="U183" t="s">
        <v>1080</v>
      </c>
      <c r="V183" t="s">
        <v>1081</v>
      </c>
      <c r="W183" t="s">
        <v>1082</v>
      </c>
      <c r="X183">
        <v>20240630</v>
      </c>
      <c r="Y183" t="s">
        <v>1083</v>
      </c>
      <c r="Z183" t="s">
        <v>1084</v>
      </c>
      <c r="AA183" s="11" t="str">
        <f t="shared" si="2"/>
        <v>EXEC [dbo].[BalanceGeneralInsertar] @Nivel ='Auxiliar',@Transaccional ='Sí',@CodigoCuentaContable ='13551901', @NombreCuentaContable ='Autorrenta 0.8',@Identificacion ='900192072',@Sucursal ='',@NombreTercero ='SEOUL MEDICINA ESTETICA INTEGRAL Y SPA S.A.',@SaldoInicial = 542744,@MovimientoDebito = 0,@MovimientoCredito =0,@SaldoFinal = 0,@Fecha ='20240630',@IdentificacionCliente = '901434038';</v>
      </c>
      <c r="AB183" t="s">
        <v>1085</v>
      </c>
    </row>
    <row r="184" spans="1:28" x14ac:dyDescent="0.25">
      <c r="A184" s="2" t="s">
        <v>28</v>
      </c>
      <c r="B184" s="2" t="s">
        <v>29</v>
      </c>
      <c r="C184" s="2" t="s">
        <v>202</v>
      </c>
      <c r="D184" s="2" t="s">
        <v>201</v>
      </c>
      <c r="E184" s="2" t="s">
        <v>91</v>
      </c>
      <c r="F184" s="2"/>
      <c r="G184" s="2" t="s">
        <v>92</v>
      </c>
      <c r="H184" s="3">
        <v>5594</v>
      </c>
      <c r="I184" s="3">
        <v>0</v>
      </c>
      <c r="J184" s="3">
        <v>0</v>
      </c>
      <c r="K184" s="3">
        <v>5594</v>
      </c>
      <c r="L184" t="s">
        <v>1071</v>
      </c>
      <c r="M184" t="s">
        <v>1072</v>
      </c>
      <c r="N184" t="s">
        <v>1073</v>
      </c>
      <c r="O184" t="s">
        <v>1074</v>
      </c>
      <c r="P184" t="s">
        <v>1075</v>
      </c>
      <c r="Q184" t="s">
        <v>1076</v>
      </c>
      <c r="R184" t="s">
        <v>1077</v>
      </c>
      <c r="S184" t="s">
        <v>1078</v>
      </c>
      <c r="T184" t="s">
        <v>1079</v>
      </c>
      <c r="U184" t="s">
        <v>1080</v>
      </c>
      <c r="V184" t="s">
        <v>1081</v>
      </c>
      <c r="W184" t="s">
        <v>1082</v>
      </c>
      <c r="X184">
        <v>20240630</v>
      </c>
      <c r="Y184" t="s">
        <v>1083</v>
      </c>
      <c r="Z184" t="s">
        <v>1084</v>
      </c>
      <c r="AA184" s="11" t="str">
        <f t="shared" si="2"/>
        <v>EXEC [dbo].[BalanceGeneralInsertar] @Nivel ='Auxiliar',@Transaccional ='Sí',@CodigoCuentaContable ='13551901', @NombreCuentaContable ='Autorrenta 0.8',@Identificacion ='900308524',@Sucursal ='',@NombreTercero ='INTÉGRIM SAS',@SaldoInicial = 5594,@MovimientoDebito = 0,@MovimientoCredito =0,@SaldoFinal = 0,@Fecha ='20240630',@IdentificacionCliente = '901434038';</v>
      </c>
      <c r="AB184" t="s">
        <v>1085</v>
      </c>
    </row>
    <row r="185" spans="1:28" x14ac:dyDescent="0.25">
      <c r="A185" s="2" t="s">
        <v>28</v>
      </c>
      <c r="B185" s="2" t="s">
        <v>29</v>
      </c>
      <c r="C185" s="2" t="s">
        <v>202</v>
      </c>
      <c r="D185" s="2" t="s">
        <v>201</v>
      </c>
      <c r="E185" s="2" t="s">
        <v>93</v>
      </c>
      <c r="F185" s="2"/>
      <c r="G185" s="2" t="s">
        <v>94</v>
      </c>
      <c r="H185" s="3">
        <v>134960</v>
      </c>
      <c r="I185" s="3">
        <v>0</v>
      </c>
      <c r="J185" s="3">
        <v>0</v>
      </c>
      <c r="K185" s="3">
        <v>134960</v>
      </c>
      <c r="L185" t="s">
        <v>1071</v>
      </c>
      <c r="M185" t="s">
        <v>1072</v>
      </c>
      <c r="N185" t="s">
        <v>1073</v>
      </c>
      <c r="O185" t="s">
        <v>1074</v>
      </c>
      <c r="P185" t="s">
        <v>1075</v>
      </c>
      <c r="Q185" t="s">
        <v>1076</v>
      </c>
      <c r="R185" t="s">
        <v>1077</v>
      </c>
      <c r="S185" t="s">
        <v>1078</v>
      </c>
      <c r="T185" t="s">
        <v>1079</v>
      </c>
      <c r="U185" t="s">
        <v>1080</v>
      </c>
      <c r="V185" t="s">
        <v>1081</v>
      </c>
      <c r="W185" t="s">
        <v>1082</v>
      </c>
      <c r="X185">
        <v>20240630</v>
      </c>
      <c r="Y185" t="s">
        <v>1083</v>
      </c>
      <c r="Z185" t="s">
        <v>1084</v>
      </c>
      <c r="AA185" s="11" t="str">
        <f t="shared" si="2"/>
        <v>EXEC [dbo].[BalanceGeneralInsertar] @Nivel ='Auxiliar',@Transaccional ='Sí',@CodigoCuentaContable ='13551901', @NombreCuentaContable ='Autorrenta 0.8',@Identificacion ='9900308524',@Sucursal ='',@NombreTercero ='INTÉGRIM S A S',@SaldoInicial = 134960,@MovimientoDebito = 0,@MovimientoCredito =0,@SaldoFinal = 0,@Fecha ='20240630',@IdentificacionCliente = '901434038';</v>
      </c>
      <c r="AB185" t="s">
        <v>1085</v>
      </c>
    </row>
    <row r="186" spans="1:28" x14ac:dyDescent="0.25">
      <c r="A186" s="2" t="s">
        <v>25</v>
      </c>
      <c r="B186" s="2" t="s">
        <v>16</v>
      </c>
      <c r="C186" s="2" t="s">
        <v>203</v>
      </c>
      <c r="D186" s="2" t="s">
        <v>204</v>
      </c>
      <c r="E186" s="2"/>
      <c r="F186" s="2"/>
      <c r="G186" s="2"/>
      <c r="H186" s="3" t="s">
        <v>843</v>
      </c>
      <c r="I186" s="3">
        <v>0</v>
      </c>
      <c r="J186" s="3">
        <v>26079000</v>
      </c>
      <c r="K186" s="3" t="s">
        <v>844</v>
      </c>
      <c r="L186" t="s">
        <v>1071</v>
      </c>
      <c r="M186" t="s">
        <v>1072</v>
      </c>
      <c r="N186" t="s">
        <v>1073</v>
      </c>
      <c r="O186" t="s">
        <v>1074</v>
      </c>
      <c r="P186" t="s">
        <v>1075</v>
      </c>
      <c r="Q186" t="s">
        <v>1076</v>
      </c>
      <c r="R186" t="s">
        <v>1077</v>
      </c>
      <c r="S186" t="s">
        <v>1078</v>
      </c>
      <c r="T186" t="s">
        <v>1079</v>
      </c>
      <c r="U186" t="s">
        <v>1080</v>
      </c>
      <c r="V186" t="s">
        <v>1081</v>
      </c>
      <c r="W186" t="s">
        <v>1082</v>
      </c>
      <c r="X186">
        <v>20240630</v>
      </c>
      <c r="Y186" t="s">
        <v>1083</v>
      </c>
      <c r="Z186" t="s">
        <v>1084</v>
      </c>
      <c r="AA186" s="11" t="str">
        <f t="shared" si="2"/>
        <v>EXEC [dbo].[BalanceGeneralInsertar] @Nivel ='Subcuenta',@Transaccional ='No',@CodigoCuentaContable ='135520', @NombreCuentaContable ='Saldo a favor renta',@Identificacion ='',@Sucursal ='',@NombreTercero ='',@SaldoInicial = 35043479.78,@MovimientoDebito = 0,@MovimientoCredito =26079000,@SaldoFinal = 26079000,@Fecha ='20240630',@IdentificacionCliente = '901434038';</v>
      </c>
      <c r="AB186" t="s">
        <v>1085</v>
      </c>
    </row>
    <row r="187" spans="1:28" x14ac:dyDescent="0.25">
      <c r="A187" s="2" t="s">
        <v>28</v>
      </c>
      <c r="B187" s="2" t="s">
        <v>29</v>
      </c>
      <c r="C187" s="2" t="s">
        <v>205</v>
      </c>
      <c r="D187" s="2" t="s">
        <v>206</v>
      </c>
      <c r="E187" s="2" t="s">
        <v>39</v>
      </c>
      <c r="F187" s="2"/>
      <c r="G187" s="2" t="s">
        <v>40</v>
      </c>
      <c r="H187" s="3" t="s">
        <v>845</v>
      </c>
      <c r="I187" s="3">
        <v>0</v>
      </c>
      <c r="J187" s="3">
        <v>26079000</v>
      </c>
      <c r="K187" s="3" t="s">
        <v>846</v>
      </c>
      <c r="L187" t="s">
        <v>1071</v>
      </c>
      <c r="M187" t="s">
        <v>1072</v>
      </c>
      <c r="N187" t="s">
        <v>1073</v>
      </c>
      <c r="O187" t="s">
        <v>1074</v>
      </c>
      <c r="P187" t="s">
        <v>1075</v>
      </c>
      <c r="Q187" t="s">
        <v>1076</v>
      </c>
      <c r="R187" t="s">
        <v>1077</v>
      </c>
      <c r="S187" t="s">
        <v>1078</v>
      </c>
      <c r="T187" t="s">
        <v>1079</v>
      </c>
      <c r="U187" t="s">
        <v>1080</v>
      </c>
      <c r="V187" t="s">
        <v>1081</v>
      </c>
      <c r="W187" t="s">
        <v>1082</v>
      </c>
      <c r="X187">
        <v>20240630</v>
      </c>
      <c r="Y187" t="s">
        <v>1083</v>
      </c>
      <c r="Z187" t="s">
        <v>1084</v>
      </c>
      <c r="AA187" s="11" t="str">
        <f t="shared" si="2"/>
        <v>EXEC [dbo].[BalanceGeneralInsertar] @Nivel ='Auxiliar',@Transaccional ='Sí',@CodigoCuentaContable ='13552002', @NombreCuentaContable ='Saldo a favor de IVA',@Identificacion ='800197268',@Sucursal ='',@NombreTercero ='DIAN',@SaldoInicial = 31789979.78,@MovimientoDebito = 0,@MovimientoCredito =26079000,@SaldoFinal = 26079000,@Fecha ='20240630',@IdentificacionCliente = '901434038';</v>
      </c>
      <c r="AB187" t="s">
        <v>1085</v>
      </c>
    </row>
    <row r="188" spans="1:28" x14ac:dyDescent="0.25">
      <c r="A188" s="2" t="s">
        <v>28</v>
      </c>
      <c r="B188" s="2" t="s">
        <v>29</v>
      </c>
      <c r="C188" s="2" t="s">
        <v>207</v>
      </c>
      <c r="D188" s="2" t="s">
        <v>208</v>
      </c>
      <c r="E188" s="2" t="s">
        <v>39</v>
      </c>
      <c r="F188" s="2"/>
      <c r="G188" s="2" t="s">
        <v>40</v>
      </c>
      <c r="H188" s="3">
        <v>3253500</v>
      </c>
      <c r="I188" s="3">
        <v>0</v>
      </c>
      <c r="J188" s="3">
        <v>0</v>
      </c>
      <c r="K188" s="3">
        <v>3253500</v>
      </c>
      <c r="L188" t="s">
        <v>1071</v>
      </c>
      <c r="M188" t="s">
        <v>1072</v>
      </c>
      <c r="N188" t="s">
        <v>1073</v>
      </c>
      <c r="O188" t="s">
        <v>1074</v>
      </c>
      <c r="P188" t="s">
        <v>1075</v>
      </c>
      <c r="Q188" t="s">
        <v>1076</v>
      </c>
      <c r="R188" t="s">
        <v>1077</v>
      </c>
      <c r="S188" t="s">
        <v>1078</v>
      </c>
      <c r="T188" t="s">
        <v>1079</v>
      </c>
      <c r="U188" t="s">
        <v>1080</v>
      </c>
      <c r="V188" t="s">
        <v>1081</v>
      </c>
      <c r="W188" t="s">
        <v>1082</v>
      </c>
      <c r="X188">
        <v>20240630</v>
      </c>
      <c r="Y188" t="s">
        <v>1083</v>
      </c>
      <c r="Z188" t="s">
        <v>1084</v>
      </c>
      <c r="AA188" s="11" t="str">
        <f t="shared" si="2"/>
        <v>EXEC [dbo].[BalanceGeneralInsertar] @Nivel ='Auxiliar',@Transaccional ='Sí',@CodigoCuentaContable ='13552003', @NombreCuentaContable ='Retefuente',@Identificacion ='800197268',@Sucursal ='',@NombreTercero ='DIAN',@SaldoInicial = 3253500,@MovimientoDebito = 0,@MovimientoCredito =0,@SaldoFinal = 0,@Fecha ='20240630',@IdentificacionCliente = '901434038';</v>
      </c>
      <c r="AB188" t="s">
        <v>1085</v>
      </c>
    </row>
    <row r="189" spans="1:28" x14ac:dyDescent="0.25">
      <c r="A189" s="2" t="s">
        <v>22</v>
      </c>
      <c r="B189" s="2" t="s">
        <v>16</v>
      </c>
      <c r="C189" s="2" t="s">
        <v>209</v>
      </c>
      <c r="D189" s="2" t="s">
        <v>210</v>
      </c>
      <c r="E189" s="2"/>
      <c r="F189" s="2"/>
      <c r="G189" s="2"/>
      <c r="H189" s="3">
        <v>393658897</v>
      </c>
      <c r="I189" s="3">
        <v>0</v>
      </c>
      <c r="J189" s="3">
        <v>6250000</v>
      </c>
      <c r="K189" s="3">
        <v>387408897</v>
      </c>
      <c r="L189" t="s">
        <v>1071</v>
      </c>
      <c r="M189" t="s">
        <v>1072</v>
      </c>
      <c r="N189" t="s">
        <v>1073</v>
      </c>
      <c r="O189" t="s">
        <v>1074</v>
      </c>
      <c r="P189" t="s">
        <v>1075</v>
      </c>
      <c r="Q189" t="s">
        <v>1076</v>
      </c>
      <c r="R189" t="s">
        <v>1077</v>
      </c>
      <c r="S189" t="s">
        <v>1078</v>
      </c>
      <c r="T189" t="s">
        <v>1079</v>
      </c>
      <c r="U189" t="s">
        <v>1080</v>
      </c>
      <c r="V189" t="s">
        <v>1081</v>
      </c>
      <c r="W189" t="s">
        <v>1082</v>
      </c>
      <c r="X189">
        <v>20240630</v>
      </c>
      <c r="Y189" t="s">
        <v>1083</v>
      </c>
      <c r="Z189" t="s">
        <v>1084</v>
      </c>
      <c r="AA189" s="11" t="str">
        <f t="shared" si="2"/>
        <v>EXEC [dbo].[BalanceGeneralInsertar] @Nivel ='Cuenta',@Transaccional ='No',@CodigoCuentaContable ='1380', @NombreCuentaContable ='Deudores varios',@Identificacion ='',@Sucursal ='',@NombreTercero ='',@SaldoInicial = 393658897,@MovimientoDebito = 0,@MovimientoCredito =6250000,@SaldoFinal = 6250000,@Fecha ='20240630',@IdentificacionCliente = '901434038';</v>
      </c>
      <c r="AB189" t="s">
        <v>1085</v>
      </c>
    </row>
    <row r="190" spans="1:28" x14ac:dyDescent="0.25">
      <c r="A190" s="2" t="s">
        <v>25</v>
      </c>
      <c r="B190" s="2" t="s">
        <v>16</v>
      </c>
      <c r="C190" s="2" t="s">
        <v>211</v>
      </c>
      <c r="D190" s="2" t="s">
        <v>212</v>
      </c>
      <c r="E190" s="2"/>
      <c r="F190" s="2"/>
      <c r="G190" s="2"/>
      <c r="H190" s="3">
        <v>393658897</v>
      </c>
      <c r="I190" s="3">
        <v>0</v>
      </c>
      <c r="J190" s="3">
        <v>6250000</v>
      </c>
      <c r="K190" s="3">
        <v>387408897</v>
      </c>
      <c r="L190" t="s">
        <v>1071</v>
      </c>
      <c r="M190" t="s">
        <v>1072</v>
      </c>
      <c r="N190" t="s">
        <v>1073</v>
      </c>
      <c r="O190" t="s">
        <v>1074</v>
      </c>
      <c r="P190" t="s">
        <v>1075</v>
      </c>
      <c r="Q190" t="s">
        <v>1076</v>
      </c>
      <c r="R190" t="s">
        <v>1077</v>
      </c>
      <c r="S190" t="s">
        <v>1078</v>
      </c>
      <c r="T190" t="s">
        <v>1079</v>
      </c>
      <c r="U190" t="s">
        <v>1080</v>
      </c>
      <c r="V190" t="s">
        <v>1081</v>
      </c>
      <c r="W190" t="s">
        <v>1082</v>
      </c>
      <c r="X190">
        <v>20240630</v>
      </c>
      <c r="Y190" t="s">
        <v>1083</v>
      </c>
      <c r="Z190" t="s">
        <v>1084</v>
      </c>
      <c r="AA190" s="11" t="str">
        <f t="shared" si="2"/>
        <v>EXEC [dbo].[BalanceGeneralInsertar] @Nivel ='Subcuenta',@Transaccional ='No',@CodigoCuentaContable ='138095', @NombreCuentaContable ='Otros',@Identificacion ='',@Sucursal ='',@NombreTercero ='',@SaldoInicial = 393658897,@MovimientoDebito = 0,@MovimientoCredito =6250000,@SaldoFinal = 6250000,@Fecha ='20240630',@IdentificacionCliente = '901434038';</v>
      </c>
      <c r="AB190" t="s">
        <v>1085</v>
      </c>
    </row>
    <row r="191" spans="1:28" x14ac:dyDescent="0.25">
      <c r="A191" s="2" t="s">
        <v>28</v>
      </c>
      <c r="B191" s="2" t="s">
        <v>29</v>
      </c>
      <c r="C191" s="2" t="s">
        <v>213</v>
      </c>
      <c r="D191" s="2" t="s">
        <v>214</v>
      </c>
      <c r="E191" s="2" t="s">
        <v>119</v>
      </c>
      <c r="F191" s="2"/>
      <c r="G191" s="2" t="s">
        <v>120</v>
      </c>
      <c r="H191" s="3">
        <v>272789000</v>
      </c>
      <c r="I191" s="3">
        <v>0</v>
      </c>
      <c r="J191" s="3">
        <v>0</v>
      </c>
      <c r="K191" s="3">
        <v>272789000</v>
      </c>
      <c r="L191" t="s">
        <v>1071</v>
      </c>
      <c r="M191" t="s">
        <v>1072</v>
      </c>
      <c r="N191" t="s">
        <v>1073</v>
      </c>
      <c r="O191" t="s">
        <v>1074</v>
      </c>
      <c r="P191" t="s">
        <v>1075</v>
      </c>
      <c r="Q191" t="s">
        <v>1076</v>
      </c>
      <c r="R191" t="s">
        <v>1077</v>
      </c>
      <c r="S191" t="s">
        <v>1078</v>
      </c>
      <c r="T191" t="s">
        <v>1079</v>
      </c>
      <c r="U191" t="s">
        <v>1080</v>
      </c>
      <c r="V191" t="s">
        <v>1081</v>
      </c>
      <c r="W191" t="s">
        <v>1082</v>
      </c>
      <c r="X191">
        <v>20240630</v>
      </c>
      <c r="Y191" t="s">
        <v>1083</v>
      </c>
      <c r="Z191" t="s">
        <v>1084</v>
      </c>
      <c r="AA191" s="11" t="str">
        <f t="shared" si="2"/>
        <v>EXEC [dbo].[BalanceGeneralInsertar] @Nivel ='Auxiliar',@Transaccional ='Sí',@CodigoCuentaContable ='13809502', @NombreCuentaContable ='Otros deudores',@Identificacion ='80196373',@Sucursal ='',@NombreTercero ='JUAN FERNANDO DURAN LOPEZ',@SaldoInicial = 272789000,@MovimientoDebito = 0,@MovimientoCredito =0,@SaldoFinal = 0,@Fecha ='20240630',@IdentificacionCliente = '901434038';</v>
      </c>
      <c r="AB191" t="s">
        <v>1085</v>
      </c>
    </row>
    <row r="192" spans="1:28" x14ac:dyDescent="0.25">
      <c r="A192" s="2" t="s">
        <v>28</v>
      </c>
      <c r="B192" s="2" t="s">
        <v>29</v>
      </c>
      <c r="C192" s="2" t="s">
        <v>213</v>
      </c>
      <c r="D192" s="2" t="s">
        <v>214</v>
      </c>
      <c r="E192" s="2" t="s">
        <v>105</v>
      </c>
      <c r="F192" s="2"/>
      <c r="G192" s="2" t="s">
        <v>106</v>
      </c>
      <c r="H192" s="3">
        <v>74483230</v>
      </c>
      <c r="I192" s="3">
        <v>0</v>
      </c>
      <c r="J192" s="3">
        <v>3333333</v>
      </c>
      <c r="K192" s="3">
        <v>71149897</v>
      </c>
      <c r="L192" t="s">
        <v>1071</v>
      </c>
      <c r="M192" t="s">
        <v>1072</v>
      </c>
      <c r="N192" t="s">
        <v>1073</v>
      </c>
      <c r="O192" t="s">
        <v>1074</v>
      </c>
      <c r="P192" t="s">
        <v>1075</v>
      </c>
      <c r="Q192" t="s">
        <v>1076</v>
      </c>
      <c r="R192" t="s">
        <v>1077</v>
      </c>
      <c r="S192" t="s">
        <v>1078</v>
      </c>
      <c r="T192" t="s">
        <v>1079</v>
      </c>
      <c r="U192" t="s">
        <v>1080</v>
      </c>
      <c r="V192" t="s">
        <v>1081</v>
      </c>
      <c r="W192" t="s">
        <v>1082</v>
      </c>
      <c r="X192">
        <v>20240630</v>
      </c>
      <c r="Y192" t="s">
        <v>1083</v>
      </c>
      <c r="Z192" t="s">
        <v>1084</v>
      </c>
      <c r="AA192" s="11" t="str">
        <f t="shared" si="2"/>
        <v>EXEC [dbo].[BalanceGeneralInsertar] @Nivel ='Auxiliar',@Transaccional ='Sí',@CodigoCuentaContable ='13809502', @NombreCuentaContable ='Otros deudores',@Identificacion ='901000155',@Sucursal ='',@NombreTercero ='DELUXE BY CRISTINA JARAMILLO S.A.S',@SaldoInicial = 74483230,@MovimientoDebito = 0,@MovimientoCredito =3333333,@SaldoFinal = 3333333,@Fecha ='20240630',@IdentificacionCliente = '901434038';</v>
      </c>
      <c r="AB192" t="s">
        <v>1085</v>
      </c>
    </row>
    <row r="193" spans="1:28" x14ac:dyDescent="0.25">
      <c r="A193" s="2" t="s">
        <v>28</v>
      </c>
      <c r="B193" s="2" t="s">
        <v>29</v>
      </c>
      <c r="C193" s="2" t="s">
        <v>213</v>
      </c>
      <c r="D193" s="2" t="s">
        <v>214</v>
      </c>
      <c r="E193" s="2" t="s">
        <v>57</v>
      </c>
      <c r="F193" s="2"/>
      <c r="G193" s="2" t="s">
        <v>58</v>
      </c>
      <c r="H193" s="3">
        <v>46386667</v>
      </c>
      <c r="I193" s="3">
        <v>0</v>
      </c>
      <c r="J193" s="3">
        <v>2916667</v>
      </c>
      <c r="K193" s="3">
        <v>43470000</v>
      </c>
      <c r="L193" t="s">
        <v>1071</v>
      </c>
      <c r="M193" t="s">
        <v>1072</v>
      </c>
      <c r="N193" t="s">
        <v>1073</v>
      </c>
      <c r="O193" t="s">
        <v>1074</v>
      </c>
      <c r="P193" t="s">
        <v>1075</v>
      </c>
      <c r="Q193" t="s">
        <v>1076</v>
      </c>
      <c r="R193" t="s">
        <v>1077</v>
      </c>
      <c r="S193" t="s">
        <v>1078</v>
      </c>
      <c r="T193" t="s">
        <v>1079</v>
      </c>
      <c r="U193" t="s">
        <v>1080</v>
      </c>
      <c r="V193" t="s">
        <v>1081</v>
      </c>
      <c r="W193" t="s">
        <v>1082</v>
      </c>
      <c r="X193">
        <v>20240630</v>
      </c>
      <c r="Y193" t="s">
        <v>1083</v>
      </c>
      <c r="Z193" t="s">
        <v>1084</v>
      </c>
      <c r="AA193" s="11" t="str">
        <f t="shared" si="2"/>
        <v>EXEC [dbo].[BalanceGeneralInsertar] @Nivel ='Auxiliar',@Transaccional ='Sí',@CodigoCuentaContable ='13809502', @NombreCuentaContable ='Otros deudores',@Identificacion ='901745690',@Sucursal ='',@NombreTercero ='JOHANNA DAZA MEDICINA ANTIENVEJECIMIENTO S.A.S.',@SaldoInicial = 46386667,@MovimientoDebito = 0,@MovimientoCredito =2916667,@SaldoFinal = 2916667,@Fecha ='20240630',@IdentificacionCliente = '901434038';</v>
      </c>
      <c r="AB193" t="s">
        <v>1085</v>
      </c>
    </row>
    <row r="194" spans="1:28" x14ac:dyDescent="0.25">
      <c r="A194" s="2" t="s">
        <v>19</v>
      </c>
      <c r="B194" s="2" t="s">
        <v>16</v>
      </c>
      <c r="C194" s="2" t="s">
        <v>215</v>
      </c>
      <c r="D194" s="2" t="s">
        <v>216</v>
      </c>
      <c r="E194" s="2"/>
      <c r="F194" s="2"/>
      <c r="G194" s="2"/>
      <c r="H194" s="3" t="s">
        <v>847</v>
      </c>
      <c r="I194" s="3">
        <v>4890000</v>
      </c>
      <c r="J194" s="3">
        <v>51845323</v>
      </c>
      <c r="K194" s="3" t="s">
        <v>848</v>
      </c>
      <c r="L194" t="s">
        <v>1071</v>
      </c>
      <c r="M194" t="s">
        <v>1072</v>
      </c>
      <c r="N194" t="s">
        <v>1073</v>
      </c>
      <c r="O194" t="s">
        <v>1074</v>
      </c>
      <c r="P194" t="s">
        <v>1075</v>
      </c>
      <c r="Q194" t="s">
        <v>1076</v>
      </c>
      <c r="R194" t="s">
        <v>1077</v>
      </c>
      <c r="S194" t="s">
        <v>1078</v>
      </c>
      <c r="T194" t="s">
        <v>1079</v>
      </c>
      <c r="U194" t="s">
        <v>1080</v>
      </c>
      <c r="V194" t="s">
        <v>1081</v>
      </c>
      <c r="W194" t="s">
        <v>1082</v>
      </c>
      <c r="X194">
        <v>20240630</v>
      </c>
      <c r="Y194" t="s">
        <v>1083</v>
      </c>
      <c r="Z194" t="s">
        <v>1084</v>
      </c>
      <c r="AA194" s="11" t="str">
        <f t="shared" si="2"/>
        <v>EXEC [dbo].[BalanceGeneralInsertar] @Nivel ='Grupo',@Transaccional ='No',@CodigoCuentaContable ='14', @NombreCuentaContable ='Inventarios',@Identificacion ='',@Sucursal ='',@NombreTercero ='',@SaldoInicial = 912453613.33,@MovimientoDebito = 4890000,@MovimientoCredito =51845323,@SaldoFinal = 51845323,@Fecha ='20240630',@IdentificacionCliente = '901434038';</v>
      </c>
      <c r="AB194" t="s">
        <v>1085</v>
      </c>
    </row>
    <row r="195" spans="1:28" x14ac:dyDescent="0.25">
      <c r="A195" s="2" t="s">
        <v>22</v>
      </c>
      <c r="B195" s="2" t="s">
        <v>16</v>
      </c>
      <c r="C195" s="2" t="s">
        <v>217</v>
      </c>
      <c r="D195" s="2" t="s">
        <v>218</v>
      </c>
      <c r="E195" s="2"/>
      <c r="F195" s="2"/>
      <c r="G195" s="2"/>
      <c r="H195" s="3" t="s">
        <v>847</v>
      </c>
      <c r="I195" s="3">
        <v>4890000</v>
      </c>
      <c r="J195" s="3">
        <v>51845323</v>
      </c>
      <c r="K195" s="3" t="s">
        <v>848</v>
      </c>
      <c r="L195" t="s">
        <v>1071</v>
      </c>
      <c r="M195" t="s">
        <v>1072</v>
      </c>
      <c r="N195" t="s">
        <v>1073</v>
      </c>
      <c r="O195" t="s">
        <v>1074</v>
      </c>
      <c r="P195" t="s">
        <v>1075</v>
      </c>
      <c r="Q195" t="s">
        <v>1076</v>
      </c>
      <c r="R195" t="s">
        <v>1077</v>
      </c>
      <c r="S195" t="s">
        <v>1078</v>
      </c>
      <c r="T195" t="s">
        <v>1079</v>
      </c>
      <c r="U195" t="s">
        <v>1080</v>
      </c>
      <c r="V195" t="s">
        <v>1081</v>
      </c>
      <c r="W195" t="s">
        <v>1082</v>
      </c>
      <c r="X195">
        <v>20240630</v>
      </c>
      <c r="Y195" t="s">
        <v>1083</v>
      </c>
      <c r="Z195" t="s">
        <v>1084</v>
      </c>
      <c r="AA195" s="11" t="str">
        <f t="shared" si="2"/>
        <v>EXEC [dbo].[BalanceGeneralInsertar] @Nivel ='Cuenta',@Transaccional ='No',@CodigoCuentaContable ='1435', @NombreCuentaContable ='Mercancías no fabricadas por la empresa',@Identificacion ='',@Sucursal ='',@NombreTercero ='',@SaldoInicial = 912453613.33,@MovimientoDebito = 4890000,@MovimientoCredito =51845323,@SaldoFinal = 51845323,@Fecha ='20240630',@IdentificacionCliente = '901434038';</v>
      </c>
      <c r="AB195" t="s">
        <v>1085</v>
      </c>
    </row>
    <row r="196" spans="1:28" x14ac:dyDescent="0.25">
      <c r="A196" s="2" t="s">
        <v>25</v>
      </c>
      <c r="B196" s="2" t="s">
        <v>16</v>
      </c>
      <c r="C196" s="2" t="s">
        <v>219</v>
      </c>
      <c r="D196" s="2" t="s">
        <v>220</v>
      </c>
      <c r="E196" s="2"/>
      <c r="F196" s="2"/>
      <c r="G196" s="2"/>
      <c r="H196" s="3" t="s">
        <v>847</v>
      </c>
      <c r="I196" s="3">
        <v>4890000</v>
      </c>
      <c r="J196" s="3">
        <v>51845323</v>
      </c>
      <c r="K196" s="3" t="s">
        <v>848</v>
      </c>
      <c r="L196" t="s">
        <v>1071</v>
      </c>
      <c r="M196" t="s">
        <v>1072</v>
      </c>
      <c r="N196" t="s">
        <v>1073</v>
      </c>
      <c r="O196" t="s">
        <v>1074</v>
      </c>
      <c r="P196" t="s">
        <v>1075</v>
      </c>
      <c r="Q196" t="s">
        <v>1076</v>
      </c>
      <c r="R196" t="s">
        <v>1077</v>
      </c>
      <c r="S196" t="s">
        <v>1078</v>
      </c>
      <c r="T196" t="s">
        <v>1079</v>
      </c>
      <c r="U196" t="s">
        <v>1080</v>
      </c>
      <c r="V196" t="s">
        <v>1081</v>
      </c>
      <c r="W196" t="s">
        <v>1082</v>
      </c>
      <c r="X196">
        <v>20240630</v>
      </c>
      <c r="Y196" t="s">
        <v>1083</v>
      </c>
      <c r="Z196" t="s">
        <v>1084</v>
      </c>
      <c r="AA196" s="11" t="str">
        <f t="shared" si="2"/>
        <v>EXEC [dbo].[BalanceGeneralInsertar] @Nivel ='Subcuenta',@Transaccional ='No',@CodigoCuentaContable ='143501', @NombreCuentaContable ='Mercancías no fabricadas',@Identificacion ='',@Sucursal ='',@NombreTercero ='',@SaldoInicial = 912453613.33,@MovimientoDebito = 4890000,@MovimientoCredito =51845323,@SaldoFinal = 51845323,@Fecha ='20240630',@IdentificacionCliente = '901434038';</v>
      </c>
      <c r="AB196" t="s">
        <v>1085</v>
      </c>
    </row>
    <row r="197" spans="1:28" x14ac:dyDescent="0.25">
      <c r="A197" s="2" t="s">
        <v>28</v>
      </c>
      <c r="B197" s="2" t="s">
        <v>29</v>
      </c>
      <c r="C197" s="2" t="s">
        <v>221</v>
      </c>
      <c r="D197" s="2" t="s">
        <v>222</v>
      </c>
      <c r="E197" s="2" t="s">
        <v>223</v>
      </c>
      <c r="F197" s="2"/>
      <c r="G197" s="2" t="s">
        <v>224</v>
      </c>
      <c r="H197" s="3">
        <v>-115993410</v>
      </c>
      <c r="I197" s="3">
        <v>0</v>
      </c>
      <c r="J197" s="3">
        <v>0</v>
      </c>
      <c r="K197" s="3">
        <v>-115993410</v>
      </c>
      <c r="L197" t="s">
        <v>1071</v>
      </c>
      <c r="M197" t="s">
        <v>1072</v>
      </c>
      <c r="N197" t="s">
        <v>1073</v>
      </c>
      <c r="O197" t="s">
        <v>1074</v>
      </c>
      <c r="P197" t="s">
        <v>1075</v>
      </c>
      <c r="Q197" t="s">
        <v>1076</v>
      </c>
      <c r="R197" t="s">
        <v>1077</v>
      </c>
      <c r="S197" t="s">
        <v>1078</v>
      </c>
      <c r="T197" t="s">
        <v>1079</v>
      </c>
      <c r="U197" t="s">
        <v>1080</v>
      </c>
      <c r="V197" t="s">
        <v>1081</v>
      </c>
      <c r="W197" t="s">
        <v>1082</v>
      </c>
      <c r="X197">
        <v>20240630</v>
      </c>
      <c r="Y197" t="s">
        <v>1083</v>
      </c>
      <c r="Z197" t="s">
        <v>1084</v>
      </c>
      <c r="AA197" s="11" t="str">
        <f t="shared" si="2"/>
        <v>EXEC [dbo].[BalanceGeneralInsertar] @Nivel ='Auxiliar',@Transaccional ='Sí',@CodigoCuentaContable ='14350101', @NombreCuentaContable ='BTL-Exilis System Serie No: 71500B005363-Deluxe',@Identificacion ='901434038',@Sucursal ='',@NombreTercero ='DAXA QUALITY SAS',@SaldoInicial = -115993410,@MovimientoDebito = 0,@MovimientoCredito =0,@SaldoFinal = 0,@Fecha ='20240630',@IdentificacionCliente = '901434038';</v>
      </c>
      <c r="AB197" t="s">
        <v>1085</v>
      </c>
    </row>
    <row r="198" spans="1:28" x14ac:dyDescent="0.25">
      <c r="A198" s="2" t="s">
        <v>28</v>
      </c>
      <c r="B198" s="2" t="s">
        <v>29</v>
      </c>
      <c r="C198" s="2" t="s">
        <v>221</v>
      </c>
      <c r="D198" s="2" t="s">
        <v>222</v>
      </c>
      <c r="E198" s="2" t="s">
        <v>99</v>
      </c>
      <c r="F198" s="2"/>
      <c r="G198" s="2" t="s">
        <v>100</v>
      </c>
      <c r="H198" s="3">
        <v>123844584</v>
      </c>
      <c r="I198" s="3">
        <v>0</v>
      </c>
      <c r="J198" s="3">
        <v>0</v>
      </c>
      <c r="K198" s="3">
        <v>123844584</v>
      </c>
      <c r="L198" t="s">
        <v>1071</v>
      </c>
      <c r="M198" t="s">
        <v>1072</v>
      </c>
      <c r="N198" t="s">
        <v>1073</v>
      </c>
      <c r="O198" t="s">
        <v>1074</v>
      </c>
      <c r="P198" t="s">
        <v>1075</v>
      </c>
      <c r="Q198" t="s">
        <v>1076</v>
      </c>
      <c r="R198" t="s">
        <v>1077</v>
      </c>
      <c r="S198" t="s">
        <v>1078</v>
      </c>
      <c r="T198" t="s">
        <v>1079</v>
      </c>
      <c r="U198" t="s">
        <v>1080</v>
      </c>
      <c r="V198" t="s">
        <v>1081</v>
      </c>
      <c r="W198" t="s">
        <v>1082</v>
      </c>
      <c r="X198">
        <v>20240630</v>
      </c>
      <c r="Y198" t="s">
        <v>1083</v>
      </c>
      <c r="Z198" t="s">
        <v>1084</v>
      </c>
      <c r="AA198" s="11" t="str">
        <f t="shared" si="2"/>
        <v>EXEC [dbo].[BalanceGeneralInsertar] @Nivel ='Auxiliar',@Transaccional ='Sí',@CodigoCuentaContable ='14350101', @NombreCuentaContable ='BTL-Exilis System Serie No: 71500B005363-Deluxe',@Identificacion ='900397663',@Sucursal ='',@NombreTercero ='BTL COLOMBIA SAS',@SaldoInicial = 123844584,@MovimientoDebito = 0,@MovimientoCredito =0,@SaldoFinal = 0,@Fecha ='20240630',@IdentificacionCliente = '901434038';</v>
      </c>
      <c r="AB198" t="s">
        <v>1085</v>
      </c>
    </row>
    <row r="199" spans="1:28" x14ac:dyDescent="0.25">
      <c r="A199" s="2" t="s">
        <v>28</v>
      </c>
      <c r="B199" s="2" t="s">
        <v>29</v>
      </c>
      <c r="C199" s="2" t="s">
        <v>225</v>
      </c>
      <c r="D199" s="2" t="s">
        <v>226</v>
      </c>
      <c r="E199" s="2" t="s">
        <v>223</v>
      </c>
      <c r="F199" s="2"/>
      <c r="G199" s="2" t="s">
        <v>224</v>
      </c>
      <c r="H199" s="3">
        <v>-86267543</v>
      </c>
      <c r="I199" s="3">
        <v>0</v>
      </c>
      <c r="J199" s="3">
        <v>0</v>
      </c>
      <c r="K199" s="3">
        <v>-86267543</v>
      </c>
      <c r="L199" t="s">
        <v>1071</v>
      </c>
      <c r="M199" t="s">
        <v>1072</v>
      </c>
      <c r="N199" t="s">
        <v>1073</v>
      </c>
      <c r="O199" t="s">
        <v>1074</v>
      </c>
      <c r="P199" t="s">
        <v>1075</v>
      </c>
      <c r="Q199" t="s">
        <v>1076</v>
      </c>
      <c r="R199" t="s">
        <v>1077</v>
      </c>
      <c r="S199" t="s">
        <v>1078</v>
      </c>
      <c r="T199" t="s">
        <v>1079</v>
      </c>
      <c r="U199" t="s">
        <v>1080</v>
      </c>
      <c r="V199" t="s">
        <v>1081</v>
      </c>
      <c r="W199" t="s">
        <v>1082</v>
      </c>
      <c r="X199">
        <v>20240630</v>
      </c>
      <c r="Y199" t="s">
        <v>1083</v>
      </c>
      <c r="Z199" t="s">
        <v>1084</v>
      </c>
      <c r="AA199" s="11" t="str">
        <f t="shared" si="2"/>
        <v>EXEC [dbo].[BalanceGeneralInsertar] @Nivel ='Auxiliar',@Transaccional ='Sí',@CodigoCuentaContable ='14350102', @NombreCuentaContable ='BTL-Exilis System-Serie No: 71500B004917-vitti',@Identificacion ='901434038',@Sucursal ='',@NombreTercero ='DAXA QUALITY SAS',@SaldoInicial = -86267543,@MovimientoDebito = 0,@MovimientoCredito =0,@SaldoFinal = 0,@Fecha ='20240630',@IdentificacionCliente = '901434038';</v>
      </c>
      <c r="AB199" t="s">
        <v>1085</v>
      </c>
    </row>
    <row r="200" spans="1:28" x14ac:dyDescent="0.25">
      <c r="A200" s="2" t="s">
        <v>28</v>
      </c>
      <c r="B200" s="2" t="s">
        <v>29</v>
      </c>
      <c r="C200" s="2" t="s">
        <v>225</v>
      </c>
      <c r="D200" s="2" t="s">
        <v>226</v>
      </c>
      <c r="E200" s="2" t="s">
        <v>121</v>
      </c>
      <c r="F200" s="2"/>
      <c r="G200" s="2" t="s">
        <v>122</v>
      </c>
      <c r="H200" s="3">
        <v>89000000</v>
      </c>
      <c r="I200" s="3">
        <v>0</v>
      </c>
      <c r="J200" s="3">
        <v>0</v>
      </c>
      <c r="K200" s="3">
        <v>89000000</v>
      </c>
      <c r="L200" t="s">
        <v>1071</v>
      </c>
      <c r="M200" t="s">
        <v>1072</v>
      </c>
      <c r="N200" t="s">
        <v>1073</v>
      </c>
      <c r="O200" t="s">
        <v>1074</v>
      </c>
      <c r="P200" t="s">
        <v>1075</v>
      </c>
      <c r="Q200" t="s">
        <v>1076</v>
      </c>
      <c r="R200" t="s">
        <v>1077</v>
      </c>
      <c r="S200" t="s">
        <v>1078</v>
      </c>
      <c r="T200" t="s">
        <v>1079</v>
      </c>
      <c r="U200" t="s">
        <v>1080</v>
      </c>
      <c r="V200" t="s">
        <v>1081</v>
      </c>
      <c r="W200" t="s">
        <v>1082</v>
      </c>
      <c r="X200">
        <v>20240630</v>
      </c>
      <c r="Y200" t="s">
        <v>1083</v>
      </c>
      <c r="Z200" t="s">
        <v>1084</v>
      </c>
      <c r="AA200" s="11" t="str">
        <f t="shared" si="2"/>
        <v>EXEC [dbo].[BalanceGeneralInsertar] @Nivel ='Auxiliar',@Transaccional ='Sí',@CodigoCuentaContable ='14350102', @NombreCuentaContable ='BTL-Exilis System-Serie No: 71500B004917-vitti',@Identificacion ='92555120',@Sucursal ='',@NombreTercero ='JOSE OMAR VELILLA',@SaldoInicial = 89000000,@MovimientoDebito = 0,@MovimientoCredito =0,@SaldoFinal = 0,@Fecha ='20240630',@IdentificacionCliente = '901434038';</v>
      </c>
      <c r="AB200" t="s">
        <v>1085</v>
      </c>
    </row>
    <row r="201" spans="1:28" x14ac:dyDescent="0.25">
      <c r="A201" s="2" t="s">
        <v>28</v>
      </c>
      <c r="B201" s="2" t="s">
        <v>29</v>
      </c>
      <c r="C201" s="2" t="s">
        <v>227</v>
      </c>
      <c r="D201" s="2" t="s">
        <v>228</v>
      </c>
      <c r="E201" s="2" t="s">
        <v>223</v>
      </c>
      <c r="F201" s="2"/>
      <c r="G201" s="2" t="s">
        <v>224</v>
      </c>
      <c r="H201" s="3" t="s">
        <v>849</v>
      </c>
      <c r="I201" s="3">
        <v>0</v>
      </c>
      <c r="J201" s="3">
        <v>0</v>
      </c>
      <c r="K201" s="3" t="s">
        <v>849</v>
      </c>
      <c r="L201" t="s">
        <v>1071</v>
      </c>
      <c r="M201" t="s">
        <v>1072</v>
      </c>
      <c r="N201" t="s">
        <v>1073</v>
      </c>
      <c r="O201" t="s">
        <v>1074</v>
      </c>
      <c r="P201" t="s">
        <v>1075</v>
      </c>
      <c r="Q201" t="s">
        <v>1076</v>
      </c>
      <c r="R201" t="s">
        <v>1077</v>
      </c>
      <c r="S201" t="s">
        <v>1078</v>
      </c>
      <c r="T201" t="s">
        <v>1079</v>
      </c>
      <c r="U201" t="s">
        <v>1080</v>
      </c>
      <c r="V201" t="s">
        <v>1081</v>
      </c>
      <c r="W201" t="s">
        <v>1082</v>
      </c>
      <c r="X201">
        <v>20240630</v>
      </c>
      <c r="Y201" t="s">
        <v>1083</v>
      </c>
      <c r="Z201" t="s">
        <v>1084</v>
      </c>
      <c r="AA201" s="11" t="str">
        <f t="shared" si="2"/>
        <v>EXEC [dbo].[BalanceGeneralInsertar] @Nivel ='Auxiliar',@Transaccional ='Sí',@CodigoCuentaContable ='14350103', @NombreCuentaContable ='SET-aplicadores de Emsculpt',@Identificacion ='901434038',@Sucursal ='',@NombreTercero ='DAXA QUALITY SAS',@SaldoInicial = -23300000.36,@MovimientoDebito = 0,@MovimientoCredito =0,@SaldoFinal = 0,@Fecha ='20240630',@IdentificacionCliente = '901434038';</v>
      </c>
      <c r="AB201" t="s">
        <v>1085</v>
      </c>
    </row>
    <row r="202" spans="1:28" x14ac:dyDescent="0.25">
      <c r="A202" s="2" t="s">
        <v>28</v>
      </c>
      <c r="B202" s="2" t="s">
        <v>29</v>
      </c>
      <c r="C202" s="2" t="s">
        <v>227</v>
      </c>
      <c r="D202" s="2" t="s">
        <v>228</v>
      </c>
      <c r="E202" s="2" t="s">
        <v>99</v>
      </c>
      <c r="F202" s="2"/>
      <c r="G202" s="2" t="s">
        <v>100</v>
      </c>
      <c r="H202" s="3">
        <v>23300000</v>
      </c>
      <c r="I202" s="3">
        <v>0</v>
      </c>
      <c r="J202" s="3">
        <v>0</v>
      </c>
      <c r="K202" s="3">
        <v>23300000</v>
      </c>
      <c r="L202" t="s">
        <v>1071</v>
      </c>
      <c r="M202" t="s">
        <v>1072</v>
      </c>
      <c r="N202" t="s">
        <v>1073</v>
      </c>
      <c r="O202" t="s">
        <v>1074</v>
      </c>
      <c r="P202" t="s">
        <v>1075</v>
      </c>
      <c r="Q202" t="s">
        <v>1076</v>
      </c>
      <c r="R202" t="s">
        <v>1077</v>
      </c>
      <c r="S202" t="s">
        <v>1078</v>
      </c>
      <c r="T202" t="s">
        <v>1079</v>
      </c>
      <c r="U202" t="s">
        <v>1080</v>
      </c>
      <c r="V202" t="s">
        <v>1081</v>
      </c>
      <c r="W202" t="s">
        <v>1082</v>
      </c>
      <c r="X202">
        <v>20240630</v>
      </c>
      <c r="Y202" t="s">
        <v>1083</v>
      </c>
      <c r="Z202" t="s">
        <v>1084</v>
      </c>
      <c r="AA202" s="11" t="str">
        <f t="shared" ref="AA202:AA265" si="3">_xlfn.CONCAT(L202,Y202,A202,Y202,Z202,M202,Y202,B202,Y202,Z202,N202,Y202,C202,Y202,Z202,AB202,Y202,D202,Y202,Z202,O202,Y202,E202,Y202,Z202,P202,Y202,F202,Y202,Z202,Q202,Y202,G202,Y202,Z202,R202,H202,Z202,S202,I202,Z202,T202,J202,Z202,U202,J202,Z202,V202,Y202,X202,Y202,Z202,W202,Y202,"901434038",Y202,";")</f>
        <v>EXEC [dbo].[BalanceGeneralInsertar] @Nivel ='Auxiliar',@Transaccional ='Sí',@CodigoCuentaContable ='14350103', @NombreCuentaContable ='SET-aplicadores de Emsculpt',@Identificacion ='900397663',@Sucursal ='',@NombreTercero ='BTL COLOMBIA SAS',@SaldoInicial = 23300000,@MovimientoDebito = 0,@MovimientoCredito =0,@SaldoFinal = 0,@Fecha ='20240630',@IdentificacionCliente = '901434038';</v>
      </c>
      <c r="AB202" t="s">
        <v>1085</v>
      </c>
    </row>
    <row r="203" spans="1:28" x14ac:dyDescent="0.25">
      <c r="A203" s="2" t="s">
        <v>28</v>
      </c>
      <c r="B203" s="2" t="s">
        <v>29</v>
      </c>
      <c r="C203" s="2" t="s">
        <v>229</v>
      </c>
      <c r="D203" s="2" t="s">
        <v>230</v>
      </c>
      <c r="E203" s="2" t="s">
        <v>223</v>
      </c>
      <c r="F203" s="2"/>
      <c r="G203" s="2" t="s">
        <v>224</v>
      </c>
      <c r="H203" s="3">
        <v>-5217087</v>
      </c>
      <c r="I203" s="3">
        <v>0</v>
      </c>
      <c r="J203" s="3">
        <v>0</v>
      </c>
      <c r="K203" s="3">
        <v>-5217087</v>
      </c>
      <c r="L203" t="s">
        <v>1071</v>
      </c>
      <c r="M203" t="s">
        <v>1072</v>
      </c>
      <c r="N203" t="s">
        <v>1073</v>
      </c>
      <c r="O203" t="s">
        <v>1074</v>
      </c>
      <c r="P203" t="s">
        <v>1075</v>
      </c>
      <c r="Q203" t="s">
        <v>1076</v>
      </c>
      <c r="R203" t="s">
        <v>1077</v>
      </c>
      <c r="S203" t="s">
        <v>1078</v>
      </c>
      <c r="T203" t="s">
        <v>1079</v>
      </c>
      <c r="U203" t="s">
        <v>1080</v>
      </c>
      <c r="V203" t="s">
        <v>1081</v>
      </c>
      <c r="W203" t="s">
        <v>1082</v>
      </c>
      <c r="X203">
        <v>20240630</v>
      </c>
      <c r="Y203" t="s">
        <v>1083</v>
      </c>
      <c r="Z203" t="s">
        <v>1084</v>
      </c>
      <c r="AA203" s="11" t="str">
        <f t="shared" si="3"/>
        <v>EXEC [dbo].[BalanceGeneralInsertar] @Nivel ='Auxiliar',@Transaccional ='Sí',@CodigoCuentaContable ='14350104', @NombreCuentaContable ='BTL-Exilis System',@Identificacion ='901434038',@Sucursal ='',@NombreTercero ='DAXA QUALITY SAS',@SaldoInicial = -5217087,@MovimientoDebito = 0,@MovimientoCredito =0,@SaldoFinal = 0,@Fecha ='20240630',@IdentificacionCliente = '901434038';</v>
      </c>
      <c r="AB203" t="s">
        <v>1085</v>
      </c>
    </row>
    <row r="204" spans="1:28" x14ac:dyDescent="0.25">
      <c r="A204" s="2" t="s">
        <v>28</v>
      </c>
      <c r="B204" s="2" t="s">
        <v>29</v>
      </c>
      <c r="C204" s="2" t="s">
        <v>229</v>
      </c>
      <c r="D204" s="2" t="s">
        <v>230</v>
      </c>
      <c r="E204" s="2" t="s">
        <v>99</v>
      </c>
      <c r="F204" s="2"/>
      <c r="G204" s="2" t="s">
        <v>100</v>
      </c>
      <c r="H204" s="3">
        <v>122817884</v>
      </c>
      <c r="I204" s="3">
        <v>0</v>
      </c>
      <c r="J204" s="3">
        <v>0</v>
      </c>
      <c r="K204" s="3">
        <v>122817884</v>
      </c>
      <c r="L204" t="s">
        <v>1071</v>
      </c>
      <c r="M204" t="s">
        <v>1072</v>
      </c>
      <c r="N204" t="s">
        <v>1073</v>
      </c>
      <c r="O204" t="s">
        <v>1074</v>
      </c>
      <c r="P204" t="s">
        <v>1075</v>
      </c>
      <c r="Q204" t="s">
        <v>1076</v>
      </c>
      <c r="R204" t="s">
        <v>1077</v>
      </c>
      <c r="S204" t="s">
        <v>1078</v>
      </c>
      <c r="T204" t="s">
        <v>1079</v>
      </c>
      <c r="U204" t="s">
        <v>1080</v>
      </c>
      <c r="V204" t="s">
        <v>1081</v>
      </c>
      <c r="W204" t="s">
        <v>1082</v>
      </c>
      <c r="X204">
        <v>20240630</v>
      </c>
      <c r="Y204" t="s">
        <v>1083</v>
      </c>
      <c r="Z204" t="s">
        <v>1084</v>
      </c>
      <c r="AA204" s="11" t="str">
        <f t="shared" si="3"/>
        <v>EXEC [dbo].[BalanceGeneralInsertar] @Nivel ='Auxiliar',@Transaccional ='Sí',@CodigoCuentaContable ='14350104', @NombreCuentaContable ='BTL-Exilis System',@Identificacion ='900397663',@Sucursal ='',@NombreTercero ='BTL COLOMBIA SAS',@SaldoInicial = 122817884,@MovimientoDebito = 0,@MovimientoCredito =0,@SaldoFinal = 0,@Fecha ='20240630',@IdentificacionCliente = '901434038';</v>
      </c>
      <c r="AB204" t="s">
        <v>1085</v>
      </c>
    </row>
    <row r="205" spans="1:28" x14ac:dyDescent="0.25">
      <c r="A205" s="2" t="s">
        <v>28</v>
      </c>
      <c r="B205" s="2" t="s">
        <v>29</v>
      </c>
      <c r="C205" s="2" t="s">
        <v>231</v>
      </c>
      <c r="D205" s="2" t="s">
        <v>232</v>
      </c>
      <c r="E205" s="2" t="s">
        <v>39</v>
      </c>
      <c r="F205" s="2"/>
      <c r="G205" s="2" t="s">
        <v>40</v>
      </c>
      <c r="H205" s="3">
        <v>-1811400</v>
      </c>
      <c r="I205" s="3">
        <v>0</v>
      </c>
      <c r="J205" s="3">
        <v>0</v>
      </c>
      <c r="K205" s="3">
        <v>-1811400</v>
      </c>
      <c r="L205" t="s">
        <v>1071</v>
      </c>
      <c r="M205" t="s">
        <v>1072</v>
      </c>
      <c r="N205" t="s">
        <v>1073</v>
      </c>
      <c r="O205" t="s">
        <v>1074</v>
      </c>
      <c r="P205" t="s">
        <v>1075</v>
      </c>
      <c r="Q205" t="s">
        <v>1076</v>
      </c>
      <c r="R205" t="s">
        <v>1077</v>
      </c>
      <c r="S205" t="s">
        <v>1078</v>
      </c>
      <c r="T205" t="s">
        <v>1079</v>
      </c>
      <c r="U205" t="s">
        <v>1080</v>
      </c>
      <c r="V205" t="s">
        <v>1081</v>
      </c>
      <c r="W205" t="s">
        <v>1082</v>
      </c>
      <c r="X205">
        <v>20240630</v>
      </c>
      <c r="Y205" t="s">
        <v>1083</v>
      </c>
      <c r="Z205" t="s">
        <v>1084</v>
      </c>
      <c r="AA205" s="11" t="str">
        <f t="shared" si="3"/>
        <v>EXEC [dbo].[BalanceGeneralInsertar] @Nivel ='Auxiliar',@Transaccional ='Sí',@CodigoCuentaContable ='14350105', @NombreCuentaContable ='PUNTA V PARA APLICADOR XP2',@Identificacion ='800197268',@Sucursal ='',@NombreTercero ='DIAN',@SaldoInicial = -1811400,@MovimientoDebito = 0,@MovimientoCredito =0,@SaldoFinal = 0,@Fecha ='20240630',@IdentificacionCliente = '901434038';</v>
      </c>
      <c r="AB205" t="s">
        <v>1085</v>
      </c>
    </row>
    <row r="206" spans="1:28" x14ac:dyDescent="0.25">
      <c r="A206" s="2" t="s">
        <v>28</v>
      </c>
      <c r="B206" s="2" t="s">
        <v>29</v>
      </c>
      <c r="C206" s="2" t="s">
        <v>231</v>
      </c>
      <c r="D206" s="2" t="s">
        <v>232</v>
      </c>
      <c r="E206" s="2" t="s">
        <v>223</v>
      </c>
      <c r="F206" s="2"/>
      <c r="G206" s="2" t="s">
        <v>224</v>
      </c>
      <c r="H206" s="3">
        <v>-600000</v>
      </c>
      <c r="I206" s="3">
        <v>0</v>
      </c>
      <c r="J206" s="3">
        <v>0</v>
      </c>
      <c r="K206" s="3">
        <v>-600000</v>
      </c>
      <c r="L206" t="s">
        <v>1071</v>
      </c>
      <c r="M206" t="s">
        <v>1072</v>
      </c>
      <c r="N206" t="s">
        <v>1073</v>
      </c>
      <c r="O206" t="s">
        <v>1074</v>
      </c>
      <c r="P206" t="s">
        <v>1075</v>
      </c>
      <c r="Q206" t="s">
        <v>1076</v>
      </c>
      <c r="R206" t="s">
        <v>1077</v>
      </c>
      <c r="S206" t="s">
        <v>1078</v>
      </c>
      <c r="T206" t="s">
        <v>1079</v>
      </c>
      <c r="U206" t="s">
        <v>1080</v>
      </c>
      <c r="V206" t="s">
        <v>1081</v>
      </c>
      <c r="W206" t="s">
        <v>1082</v>
      </c>
      <c r="X206">
        <v>20240630</v>
      </c>
      <c r="Y206" t="s">
        <v>1083</v>
      </c>
      <c r="Z206" t="s">
        <v>1084</v>
      </c>
      <c r="AA206" s="11" t="str">
        <f t="shared" si="3"/>
        <v>EXEC [dbo].[BalanceGeneralInsertar] @Nivel ='Auxiliar',@Transaccional ='Sí',@CodigoCuentaContable ='14350105', @NombreCuentaContable ='PUNTA V PARA APLICADOR XP2',@Identificacion ='901434038',@Sucursal ='',@NombreTercero ='DAXA QUALITY SAS',@SaldoInicial = -600000,@MovimientoDebito = 0,@MovimientoCredito =0,@SaldoFinal = 0,@Fecha ='20240630',@IdentificacionCliente = '901434038';</v>
      </c>
      <c r="AB206" t="s">
        <v>1085</v>
      </c>
    </row>
    <row r="207" spans="1:28" x14ac:dyDescent="0.25">
      <c r="A207" s="2" t="s">
        <v>28</v>
      </c>
      <c r="B207" s="2" t="s">
        <v>29</v>
      </c>
      <c r="C207" s="2" t="s">
        <v>231</v>
      </c>
      <c r="D207" s="2" t="s">
        <v>232</v>
      </c>
      <c r="E207" s="2" t="s">
        <v>99</v>
      </c>
      <c r="F207" s="2"/>
      <c r="G207" s="2" t="s">
        <v>100</v>
      </c>
      <c r="H207" s="3">
        <v>1520000</v>
      </c>
      <c r="I207" s="3">
        <v>0</v>
      </c>
      <c r="J207" s="3">
        <v>0</v>
      </c>
      <c r="K207" s="3">
        <v>1520000</v>
      </c>
      <c r="L207" t="s">
        <v>1071</v>
      </c>
      <c r="M207" t="s">
        <v>1072</v>
      </c>
      <c r="N207" t="s">
        <v>1073</v>
      </c>
      <c r="O207" t="s">
        <v>1074</v>
      </c>
      <c r="P207" t="s">
        <v>1075</v>
      </c>
      <c r="Q207" t="s">
        <v>1076</v>
      </c>
      <c r="R207" t="s">
        <v>1077</v>
      </c>
      <c r="S207" t="s">
        <v>1078</v>
      </c>
      <c r="T207" t="s">
        <v>1079</v>
      </c>
      <c r="U207" t="s">
        <v>1080</v>
      </c>
      <c r="V207" t="s">
        <v>1081</v>
      </c>
      <c r="W207" t="s">
        <v>1082</v>
      </c>
      <c r="X207">
        <v>20240630</v>
      </c>
      <c r="Y207" t="s">
        <v>1083</v>
      </c>
      <c r="Z207" t="s">
        <v>1084</v>
      </c>
      <c r="AA207" s="11" t="str">
        <f t="shared" si="3"/>
        <v>EXEC [dbo].[BalanceGeneralInsertar] @Nivel ='Auxiliar',@Transaccional ='Sí',@CodigoCuentaContable ='14350105', @NombreCuentaContable ='PUNTA V PARA APLICADOR XP2',@Identificacion ='900397663',@Sucursal ='',@NombreTercero ='BTL COLOMBIA SAS',@SaldoInicial = 1520000,@MovimientoDebito = 0,@MovimientoCredito =0,@SaldoFinal = 0,@Fecha ='20240630',@IdentificacionCliente = '901434038';</v>
      </c>
      <c r="AB207" t="s">
        <v>1085</v>
      </c>
    </row>
    <row r="208" spans="1:28" x14ac:dyDescent="0.25">
      <c r="A208" s="2" t="s">
        <v>28</v>
      </c>
      <c r="B208" s="2" t="s">
        <v>29</v>
      </c>
      <c r="C208" s="2" t="s">
        <v>233</v>
      </c>
      <c r="D208" s="2" t="s">
        <v>234</v>
      </c>
      <c r="E208" s="2" t="s">
        <v>99</v>
      </c>
      <c r="F208" s="2"/>
      <c r="G208" s="2" t="s">
        <v>100</v>
      </c>
      <c r="H208" s="3">
        <v>1500000</v>
      </c>
      <c r="I208" s="3">
        <v>0</v>
      </c>
      <c r="J208" s="3">
        <v>0</v>
      </c>
      <c r="K208" s="3">
        <v>1500000</v>
      </c>
      <c r="L208" t="s">
        <v>1071</v>
      </c>
      <c r="M208" t="s">
        <v>1072</v>
      </c>
      <c r="N208" t="s">
        <v>1073</v>
      </c>
      <c r="O208" t="s">
        <v>1074</v>
      </c>
      <c r="P208" t="s">
        <v>1075</v>
      </c>
      <c r="Q208" t="s">
        <v>1076</v>
      </c>
      <c r="R208" t="s">
        <v>1077</v>
      </c>
      <c r="S208" t="s">
        <v>1078</v>
      </c>
      <c r="T208" t="s">
        <v>1079</v>
      </c>
      <c r="U208" t="s">
        <v>1080</v>
      </c>
      <c r="V208" t="s">
        <v>1081</v>
      </c>
      <c r="W208" t="s">
        <v>1082</v>
      </c>
      <c r="X208">
        <v>20240630</v>
      </c>
      <c r="Y208" t="s">
        <v>1083</v>
      </c>
      <c r="Z208" t="s">
        <v>1084</v>
      </c>
      <c r="AA208" s="11" t="str">
        <f t="shared" si="3"/>
        <v>EXEC [dbo].[BalanceGeneralInsertar] @Nivel ='Auxiliar',@Transaccional ='Sí',@CodigoCuentaContable ='14350106', @NombreCuentaContable ='PUNTA V24 PARA APLICADOR XP2',@Identificacion ='900397663',@Sucursal ='',@NombreTercero ='BTL COLOMBIA SAS',@SaldoInicial = 1500000,@MovimientoDebito = 0,@MovimientoCredito =0,@SaldoFinal = 0,@Fecha ='20240630',@IdentificacionCliente = '901434038';</v>
      </c>
      <c r="AB208" t="s">
        <v>1085</v>
      </c>
    </row>
    <row r="209" spans="1:28" x14ac:dyDescent="0.25">
      <c r="A209" s="2" t="s">
        <v>28</v>
      </c>
      <c r="B209" s="2" t="s">
        <v>29</v>
      </c>
      <c r="C209" s="2" t="s">
        <v>235</v>
      </c>
      <c r="D209" s="2" t="s">
        <v>236</v>
      </c>
      <c r="E209" s="2" t="s">
        <v>99</v>
      </c>
      <c r="F209" s="2"/>
      <c r="G209" s="2" t="s">
        <v>100</v>
      </c>
      <c r="H209" s="3">
        <v>600000</v>
      </c>
      <c r="I209" s="3">
        <v>0</v>
      </c>
      <c r="J209" s="3">
        <v>0</v>
      </c>
      <c r="K209" s="3">
        <v>600000</v>
      </c>
      <c r="L209" t="s">
        <v>1071</v>
      </c>
      <c r="M209" t="s">
        <v>1072</v>
      </c>
      <c r="N209" t="s">
        <v>1073</v>
      </c>
      <c r="O209" t="s">
        <v>1074</v>
      </c>
      <c r="P209" t="s">
        <v>1075</v>
      </c>
      <c r="Q209" t="s">
        <v>1076</v>
      </c>
      <c r="R209" t="s">
        <v>1077</v>
      </c>
      <c r="S209" t="s">
        <v>1078</v>
      </c>
      <c r="T209" t="s">
        <v>1079</v>
      </c>
      <c r="U209" t="s">
        <v>1080</v>
      </c>
      <c r="V209" t="s">
        <v>1081</v>
      </c>
      <c r="W209" t="s">
        <v>1082</v>
      </c>
      <c r="X209">
        <v>20240630</v>
      </c>
      <c r="Y209" t="s">
        <v>1083</v>
      </c>
      <c r="Z209" t="s">
        <v>1084</v>
      </c>
      <c r="AA209" s="11" t="str">
        <f t="shared" si="3"/>
        <v>EXEC [dbo].[BalanceGeneralInsertar] @Nivel ='Auxiliar',@Transaccional ='Sí',@CodigoCuentaContable ='14350107', @NombreCuentaContable ='PUNTA V30 PARA APLICADOR XP2',@Identificacion ='900397663',@Sucursal ='',@NombreTercero ='BTL COLOMBIA SAS',@SaldoInicial = 600000,@MovimientoDebito = 0,@MovimientoCredito =0,@SaldoFinal = 0,@Fecha ='20240630',@IdentificacionCliente = '901434038';</v>
      </c>
      <c r="AB209" t="s">
        <v>1085</v>
      </c>
    </row>
    <row r="210" spans="1:28" x14ac:dyDescent="0.25">
      <c r="A210" s="2" t="s">
        <v>28</v>
      </c>
      <c r="B210" s="2" t="s">
        <v>29</v>
      </c>
      <c r="C210" s="2" t="s">
        <v>237</v>
      </c>
      <c r="D210" s="2" t="s">
        <v>238</v>
      </c>
      <c r="E210" s="2" t="s">
        <v>223</v>
      </c>
      <c r="F210" s="2"/>
      <c r="G210" s="2" t="s">
        <v>224</v>
      </c>
      <c r="H210" s="3" t="s">
        <v>850</v>
      </c>
      <c r="I210" s="3">
        <v>0</v>
      </c>
      <c r="J210" s="3">
        <v>5217087</v>
      </c>
      <c r="K210" s="3" t="s">
        <v>851</v>
      </c>
      <c r="L210" t="s">
        <v>1071</v>
      </c>
      <c r="M210" t="s">
        <v>1072</v>
      </c>
      <c r="N210" t="s">
        <v>1073</v>
      </c>
      <c r="O210" t="s">
        <v>1074</v>
      </c>
      <c r="P210" t="s">
        <v>1075</v>
      </c>
      <c r="Q210" t="s">
        <v>1076</v>
      </c>
      <c r="R210" t="s">
        <v>1077</v>
      </c>
      <c r="S210" t="s">
        <v>1078</v>
      </c>
      <c r="T210" t="s">
        <v>1079</v>
      </c>
      <c r="U210" t="s">
        <v>1080</v>
      </c>
      <c r="V210" t="s">
        <v>1081</v>
      </c>
      <c r="W210" t="s">
        <v>1082</v>
      </c>
      <c r="X210">
        <v>20240630</v>
      </c>
      <c r="Y210" t="s">
        <v>1083</v>
      </c>
      <c r="Z210" t="s">
        <v>1084</v>
      </c>
      <c r="AA210" s="11" t="str">
        <f t="shared" si="3"/>
        <v>EXEC [dbo].[BalanceGeneralInsertar] @Nivel ='Auxiliar',@Transaccional ='Sí',@CodigoCuentaContable ='14350108', @NombreCuentaContable ='EMTONE',@Identificacion ='901434038',@Sucursal ='',@NombreTercero ='DAXA QUALITY SAS',@SaldoInicial = -221495094.85,@MovimientoDebito = 0,@MovimientoCredito =5217087,@SaldoFinal = 5217087,@Fecha ='20240630',@IdentificacionCliente = '901434038';</v>
      </c>
      <c r="AB210" t="s">
        <v>1085</v>
      </c>
    </row>
    <row r="211" spans="1:28" x14ac:dyDescent="0.25">
      <c r="A211" s="2" t="s">
        <v>28</v>
      </c>
      <c r="B211" s="2" t="s">
        <v>29</v>
      </c>
      <c r="C211" s="2" t="s">
        <v>237</v>
      </c>
      <c r="D211" s="2" t="s">
        <v>238</v>
      </c>
      <c r="E211" s="2" t="s">
        <v>99</v>
      </c>
      <c r="F211" s="2"/>
      <c r="G211" s="2" t="s">
        <v>100</v>
      </c>
      <c r="H211" s="3">
        <v>149600868</v>
      </c>
      <c r="I211" s="3">
        <v>0</v>
      </c>
      <c r="J211" s="3">
        <v>0</v>
      </c>
      <c r="K211" s="3">
        <v>149600868</v>
      </c>
      <c r="L211" t="s">
        <v>1071</v>
      </c>
      <c r="M211" t="s">
        <v>1072</v>
      </c>
      <c r="N211" t="s">
        <v>1073</v>
      </c>
      <c r="O211" t="s">
        <v>1074</v>
      </c>
      <c r="P211" t="s">
        <v>1075</v>
      </c>
      <c r="Q211" t="s">
        <v>1076</v>
      </c>
      <c r="R211" t="s">
        <v>1077</v>
      </c>
      <c r="S211" t="s">
        <v>1078</v>
      </c>
      <c r="T211" t="s">
        <v>1079</v>
      </c>
      <c r="U211" t="s">
        <v>1080</v>
      </c>
      <c r="V211" t="s">
        <v>1081</v>
      </c>
      <c r="W211" t="s">
        <v>1082</v>
      </c>
      <c r="X211">
        <v>20240630</v>
      </c>
      <c r="Y211" t="s">
        <v>1083</v>
      </c>
      <c r="Z211" t="s">
        <v>1084</v>
      </c>
      <c r="AA211" s="11" t="str">
        <f t="shared" si="3"/>
        <v>EXEC [dbo].[BalanceGeneralInsertar] @Nivel ='Auxiliar',@Transaccional ='Sí',@CodigoCuentaContable ='14350108', @NombreCuentaContable ='EMTONE',@Identificacion ='900397663',@Sucursal ='',@NombreTercero ='BTL COLOMBIA SAS',@SaldoInicial = 149600868,@MovimientoDebito = 0,@MovimientoCredito =0,@SaldoFinal = 0,@Fecha ='20240630',@IdentificacionCliente = '901434038';</v>
      </c>
      <c r="AB211" t="s">
        <v>1085</v>
      </c>
    </row>
    <row r="212" spans="1:28" x14ac:dyDescent="0.25">
      <c r="A212" s="2" t="s">
        <v>28</v>
      </c>
      <c r="B212" s="2" t="s">
        <v>29</v>
      </c>
      <c r="C212" s="2" t="s">
        <v>239</v>
      </c>
      <c r="D212" s="2" t="s">
        <v>240</v>
      </c>
      <c r="E212" s="2" t="s">
        <v>223</v>
      </c>
      <c r="F212" s="2"/>
      <c r="G212" s="2" t="s">
        <v>224</v>
      </c>
      <c r="H212" s="3">
        <v>-1498725</v>
      </c>
      <c r="I212" s="3">
        <v>0</v>
      </c>
      <c r="J212" s="3">
        <v>0</v>
      </c>
      <c r="K212" s="3">
        <v>-1498725</v>
      </c>
      <c r="L212" t="s">
        <v>1071</v>
      </c>
      <c r="M212" t="s">
        <v>1072</v>
      </c>
      <c r="N212" t="s">
        <v>1073</v>
      </c>
      <c r="O212" t="s">
        <v>1074</v>
      </c>
      <c r="P212" t="s">
        <v>1075</v>
      </c>
      <c r="Q212" t="s">
        <v>1076</v>
      </c>
      <c r="R212" t="s">
        <v>1077</v>
      </c>
      <c r="S212" t="s">
        <v>1078</v>
      </c>
      <c r="T212" t="s">
        <v>1079</v>
      </c>
      <c r="U212" t="s">
        <v>1080</v>
      </c>
      <c r="V212" t="s">
        <v>1081</v>
      </c>
      <c r="W212" t="s">
        <v>1082</v>
      </c>
      <c r="X212">
        <v>20240630</v>
      </c>
      <c r="Y212" t="s">
        <v>1083</v>
      </c>
      <c r="Z212" t="s">
        <v>1084</v>
      </c>
      <c r="AA212" s="11" t="str">
        <f t="shared" si="3"/>
        <v>EXEC [dbo].[BalanceGeneralInsertar] @Nivel ='Auxiliar',@Transaccional ='Sí',@CodigoCuentaContable ='14350109', @NombreCuentaContable ='ELECTRODO PARCHE ADHESIVO PARA EMTONE',@Identificacion ='901434038',@Sucursal ='',@NombreTercero ='DAXA QUALITY SAS',@SaldoInicial = -1498725,@MovimientoDebito = 0,@MovimientoCredito =0,@SaldoFinal = 0,@Fecha ='20240630',@IdentificacionCliente = '901434038';</v>
      </c>
      <c r="AB212" t="s">
        <v>1085</v>
      </c>
    </row>
    <row r="213" spans="1:28" x14ac:dyDescent="0.25">
      <c r="A213" s="2" t="s">
        <v>28</v>
      </c>
      <c r="B213" s="2" t="s">
        <v>29</v>
      </c>
      <c r="C213" s="2" t="s">
        <v>239</v>
      </c>
      <c r="D213" s="2" t="s">
        <v>240</v>
      </c>
      <c r="E213" s="2" t="s">
        <v>99</v>
      </c>
      <c r="F213" s="2"/>
      <c r="G213" s="2" t="s">
        <v>100</v>
      </c>
      <c r="H213" s="3">
        <v>-148801125</v>
      </c>
      <c r="I213" s="3">
        <v>0</v>
      </c>
      <c r="J213" s="3">
        <v>0</v>
      </c>
      <c r="K213" s="3">
        <v>-148801125</v>
      </c>
      <c r="L213" t="s">
        <v>1071</v>
      </c>
      <c r="M213" t="s">
        <v>1072</v>
      </c>
      <c r="N213" t="s">
        <v>1073</v>
      </c>
      <c r="O213" t="s">
        <v>1074</v>
      </c>
      <c r="P213" t="s">
        <v>1075</v>
      </c>
      <c r="Q213" t="s">
        <v>1076</v>
      </c>
      <c r="R213" t="s">
        <v>1077</v>
      </c>
      <c r="S213" t="s">
        <v>1078</v>
      </c>
      <c r="T213" t="s">
        <v>1079</v>
      </c>
      <c r="U213" t="s">
        <v>1080</v>
      </c>
      <c r="V213" t="s">
        <v>1081</v>
      </c>
      <c r="W213" t="s">
        <v>1082</v>
      </c>
      <c r="X213">
        <v>20240630</v>
      </c>
      <c r="Y213" t="s">
        <v>1083</v>
      </c>
      <c r="Z213" t="s">
        <v>1084</v>
      </c>
      <c r="AA213" s="11" t="str">
        <f t="shared" si="3"/>
        <v>EXEC [dbo].[BalanceGeneralInsertar] @Nivel ='Auxiliar',@Transaccional ='Sí',@CodigoCuentaContable ='14350109', @NombreCuentaContable ='ELECTRODO PARCHE ADHESIVO PARA EMTONE',@Identificacion ='900397663',@Sucursal ='',@NombreTercero ='BTL COLOMBIA SAS',@SaldoInicial = -148801125,@MovimientoDebito = 0,@MovimientoCredito =0,@SaldoFinal = 0,@Fecha ='20240630',@IdentificacionCliente = '901434038';</v>
      </c>
      <c r="AB213" t="s">
        <v>1085</v>
      </c>
    </row>
    <row r="214" spans="1:28" x14ac:dyDescent="0.25">
      <c r="A214" s="2" t="s">
        <v>28</v>
      </c>
      <c r="B214" s="2" t="s">
        <v>29</v>
      </c>
      <c r="C214" s="2" t="s">
        <v>241</v>
      </c>
      <c r="D214" s="2" t="s">
        <v>242</v>
      </c>
      <c r="E214" s="2" t="s">
        <v>223</v>
      </c>
      <c r="F214" s="2"/>
      <c r="G214" s="2" t="s">
        <v>224</v>
      </c>
      <c r="H214" s="3">
        <v>-7288841</v>
      </c>
      <c r="I214" s="3">
        <v>0</v>
      </c>
      <c r="J214" s="3">
        <v>0</v>
      </c>
      <c r="K214" s="3">
        <v>-7288841</v>
      </c>
      <c r="L214" t="s">
        <v>1071</v>
      </c>
      <c r="M214" t="s">
        <v>1072</v>
      </c>
      <c r="N214" t="s">
        <v>1073</v>
      </c>
      <c r="O214" t="s">
        <v>1074</v>
      </c>
      <c r="P214" t="s">
        <v>1075</v>
      </c>
      <c r="Q214" t="s">
        <v>1076</v>
      </c>
      <c r="R214" t="s">
        <v>1077</v>
      </c>
      <c r="S214" t="s">
        <v>1078</v>
      </c>
      <c r="T214" t="s">
        <v>1079</v>
      </c>
      <c r="U214" t="s">
        <v>1080</v>
      </c>
      <c r="V214" t="s">
        <v>1081</v>
      </c>
      <c r="W214" t="s">
        <v>1082</v>
      </c>
      <c r="X214">
        <v>20240630</v>
      </c>
      <c r="Y214" t="s">
        <v>1083</v>
      </c>
      <c r="Z214" t="s">
        <v>1084</v>
      </c>
      <c r="AA214" s="11" t="str">
        <f t="shared" si="3"/>
        <v>EXEC [dbo].[BalanceGeneralInsertar] @Nivel ='Auxiliar',@Transaccional ='Sí',@CodigoCuentaContable ='14350110', @NombreCuentaContable ='ELECTRODO PARCHE ADHESIVO PARA EXILIS',@Identificacion ='901434038',@Sucursal ='',@NombreTercero ='DAXA QUALITY SAS',@SaldoInicial = -7288841,@MovimientoDebito = 0,@MovimientoCredito =0,@SaldoFinal = 0,@Fecha ='20240630',@IdentificacionCliente = '901434038';</v>
      </c>
      <c r="AB214" t="s">
        <v>1085</v>
      </c>
    </row>
    <row r="215" spans="1:28" x14ac:dyDescent="0.25">
      <c r="A215" s="2" t="s">
        <v>28</v>
      </c>
      <c r="B215" s="2" t="s">
        <v>29</v>
      </c>
      <c r="C215" s="2" t="s">
        <v>241</v>
      </c>
      <c r="D215" s="2" t="s">
        <v>242</v>
      </c>
      <c r="E215" s="2" t="s">
        <v>99</v>
      </c>
      <c r="F215" s="2"/>
      <c r="G215" s="2" t="s">
        <v>100</v>
      </c>
      <c r="H215" s="3">
        <v>13386500</v>
      </c>
      <c r="I215" s="3">
        <v>0</v>
      </c>
      <c r="J215" s="3">
        <v>0</v>
      </c>
      <c r="K215" s="3">
        <v>13386500</v>
      </c>
      <c r="L215" t="s">
        <v>1071</v>
      </c>
      <c r="M215" t="s">
        <v>1072</v>
      </c>
      <c r="N215" t="s">
        <v>1073</v>
      </c>
      <c r="O215" t="s">
        <v>1074</v>
      </c>
      <c r="P215" t="s">
        <v>1075</v>
      </c>
      <c r="Q215" t="s">
        <v>1076</v>
      </c>
      <c r="R215" t="s">
        <v>1077</v>
      </c>
      <c r="S215" t="s">
        <v>1078</v>
      </c>
      <c r="T215" t="s">
        <v>1079</v>
      </c>
      <c r="U215" t="s">
        <v>1080</v>
      </c>
      <c r="V215" t="s">
        <v>1081</v>
      </c>
      <c r="W215" t="s">
        <v>1082</v>
      </c>
      <c r="X215">
        <v>20240630</v>
      </c>
      <c r="Y215" t="s">
        <v>1083</v>
      </c>
      <c r="Z215" t="s">
        <v>1084</v>
      </c>
      <c r="AA215" s="11" t="str">
        <f t="shared" si="3"/>
        <v>EXEC [dbo].[BalanceGeneralInsertar] @Nivel ='Auxiliar',@Transaccional ='Sí',@CodigoCuentaContable ='14350110', @NombreCuentaContable ='ELECTRODO PARCHE ADHESIVO PARA EXILIS',@Identificacion ='900397663',@Sucursal ='',@NombreTercero ='BTL COLOMBIA SAS',@SaldoInicial = 13386500,@MovimientoDebito = 0,@MovimientoCredito =0,@SaldoFinal = 0,@Fecha ='20240630',@IdentificacionCliente = '901434038';</v>
      </c>
      <c r="AB215" t="s">
        <v>1085</v>
      </c>
    </row>
    <row r="216" spans="1:28" x14ac:dyDescent="0.25">
      <c r="A216" s="2" t="s">
        <v>28</v>
      </c>
      <c r="B216" s="2" t="s">
        <v>29</v>
      </c>
      <c r="C216" s="2" t="s">
        <v>241</v>
      </c>
      <c r="D216" s="2" t="s">
        <v>242</v>
      </c>
      <c r="E216" s="2" t="s">
        <v>47</v>
      </c>
      <c r="F216" s="2"/>
      <c r="G216" s="2" t="s">
        <v>48</v>
      </c>
      <c r="H216" s="3">
        <v>525000</v>
      </c>
      <c r="I216" s="3">
        <v>0</v>
      </c>
      <c r="J216" s="3">
        <v>0</v>
      </c>
      <c r="K216" s="3">
        <v>525000</v>
      </c>
      <c r="L216" t="s">
        <v>1071</v>
      </c>
      <c r="M216" t="s">
        <v>1072</v>
      </c>
      <c r="N216" t="s">
        <v>1073</v>
      </c>
      <c r="O216" t="s">
        <v>1074</v>
      </c>
      <c r="P216" t="s">
        <v>1075</v>
      </c>
      <c r="Q216" t="s">
        <v>1076</v>
      </c>
      <c r="R216" t="s">
        <v>1077</v>
      </c>
      <c r="S216" t="s">
        <v>1078</v>
      </c>
      <c r="T216" t="s">
        <v>1079</v>
      </c>
      <c r="U216" t="s">
        <v>1080</v>
      </c>
      <c r="V216" t="s">
        <v>1081</v>
      </c>
      <c r="W216" t="s">
        <v>1082</v>
      </c>
      <c r="X216">
        <v>20240630</v>
      </c>
      <c r="Y216" t="s">
        <v>1083</v>
      </c>
      <c r="Z216" t="s">
        <v>1084</v>
      </c>
      <c r="AA216" s="11" t="str">
        <f t="shared" si="3"/>
        <v>EXEC [dbo].[BalanceGeneralInsertar] @Nivel ='Auxiliar',@Transaccional ='Sí',@CodigoCuentaContable ='14350110', @NombreCuentaContable ='ELECTRODO PARCHE ADHESIVO PARA EXILIS',@Identificacion ='52377442',@Sucursal ='',@NombreTercero ='ANGELICA MARIA QUIMBAYO',@SaldoInicial = 525000,@MovimientoDebito = 0,@MovimientoCredito =0,@SaldoFinal = 0,@Fecha ='20240630',@IdentificacionCliente = '901434038';</v>
      </c>
      <c r="AB216" t="s">
        <v>1085</v>
      </c>
    </row>
    <row r="217" spans="1:28" x14ac:dyDescent="0.25">
      <c r="A217" s="2" t="s">
        <v>28</v>
      </c>
      <c r="B217" s="2" t="s">
        <v>29</v>
      </c>
      <c r="C217" s="2" t="s">
        <v>243</v>
      </c>
      <c r="D217" s="2" t="s">
        <v>244</v>
      </c>
      <c r="E217" s="2" t="s">
        <v>223</v>
      </c>
      <c r="F217" s="2"/>
      <c r="G217" s="2" t="s">
        <v>224</v>
      </c>
      <c r="H217" s="3">
        <v>-1092400</v>
      </c>
      <c r="I217" s="3">
        <v>0</v>
      </c>
      <c r="J217" s="3">
        <v>0</v>
      </c>
      <c r="K217" s="3">
        <v>-1092400</v>
      </c>
      <c r="L217" t="s">
        <v>1071</v>
      </c>
      <c r="M217" t="s">
        <v>1072</v>
      </c>
      <c r="N217" t="s">
        <v>1073</v>
      </c>
      <c r="O217" t="s">
        <v>1074</v>
      </c>
      <c r="P217" t="s">
        <v>1075</v>
      </c>
      <c r="Q217" t="s">
        <v>1076</v>
      </c>
      <c r="R217" t="s">
        <v>1077</v>
      </c>
      <c r="S217" t="s">
        <v>1078</v>
      </c>
      <c r="T217" t="s">
        <v>1079</v>
      </c>
      <c r="U217" t="s">
        <v>1080</v>
      </c>
      <c r="V217" t="s">
        <v>1081</v>
      </c>
      <c r="W217" t="s">
        <v>1082</v>
      </c>
      <c r="X217">
        <v>20240630</v>
      </c>
      <c r="Y217" t="s">
        <v>1083</v>
      </c>
      <c r="Z217" t="s">
        <v>1084</v>
      </c>
      <c r="AA217" s="11" t="str">
        <f t="shared" si="3"/>
        <v>EXEC [dbo].[BalanceGeneralInsertar] @Nivel ='Auxiliar',@Transaccional ='Sí',@CodigoCuentaContable ='14350111', @NombreCuentaContable ='ELECTRODO PARCHE ADHESIVO PARA UNISON CAJA X 25',@Identificacion ='901434038',@Sucursal ='',@NombreTercero ='DAXA QUALITY SAS',@SaldoInicial = -1092400,@MovimientoDebito = 0,@MovimientoCredito =0,@SaldoFinal = 0,@Fecha ='20240630',@IdentificacionCliente = '901434038';</v>
      </c>
      <c r="AB217" t="s">
        <v>1085</v>
      </c>
    </row>
    <row r="218" spans="1:28" x14ac:dyDescent="0.25">
      <c r="A218" s="2" t="s">
        <v>28</v>
      </c>
      <c r="B218" s="2" t="s">
        <v>29</v>
      </c>
      <c r="C218" s="2" t="s">
        <v>243</v>
      </c>
      <c r="D218" s="2" t="s">
        <v>244</v>
      </c>
      <c r="E218" s="2" t="s">
        <v>99</v>
      </c>
      <c r="F218" s="2"/>
      <c r="G218" s="2" t="s">
        <v>100</v>
      </c>
      <c r="H218" s="3">
        <v>1092400</v>
      </c>
      <c r="I218" s="3">
        <v>0</v>
      </c>
      <c r="J218" s="3">
        <v>0</v>
      </c>
      <c r="K218" s="3">
        <v>1092400</v>
      </c>
      <c r="L218" t="s">
        <v>1071</v>
      </c>
      <c r="M218" t="s">
        <v>1072</v>
      </c>
      <c r="N218" t="s">
        <v>1073</v>
      </c>
      <c r="O218" t="s">
        <v>1074</v>
      </c>
      <c r="P218" t="s">
        <v>1075</v>
      </c>
      <c r="Q218" t="s">
        <v>1076</v>
      </c>
      <c r="R218" t="s">
        <v>1077</v>
      </c>
      <c r="S218" t="s">
        <v>1078</v>
      </c>
      <c r="T218" t="s">
        <v>1079</v>
      </c>
      <c r="U218" t="s">
        <v>1080</v>
      </c>
      <c r="V218" t="s">
        <v>1081</v>
      </c>
      <c r="W218" t="s">
        <v>1082</v>
      </c>
      <c r="X218">
        <v>20240630</v>
      </c>
      <c r="Y218" t="s">
        <v>1083</v>
      </c>
      <c r="Z218" t="s">
        <v>1084</v>
      </c>
      <c r="AA218" s="11" t="str">
        <f t="shared" si="3"/>
        <v>EXEC [dbo].[BalanceGeneralInsertar] @Nivel ='Auxiliar',@Transaccional ='Sí',@CodigoCuentaContable ='14350111', @NombreCuentaContable ='ELECTRODO PARCHE ADHESIVO PARA UNISON CAJA X 25',@Identificacion ='900397663',@Sucursal ='',@NombreTercero ='BTL COLOMBIA SAS',@SaldoInicial = 1092400,@MovimientoDebito = 0,@MovimientoCredito =0,@SaldoFinal = 0,@Fecha ='20240630',@IdentificacionCliente = '901434038';</v>
      </c>
      <c r="AB218" t="s">
        <v>1085</v>
      </c>
    </row>
    <row r="219" spans="1:28" x14ac:dyDescent="0.25">
      <c r="A219" s="2" t="s">
        <v>28</v>
      </c>
      <c r="B219" s="2" t="s">
        <v>29</v>
      </c>
      <c r="C219" s="2" t="s">
        <v>245</v>
      </c>
      <c r="D219" s="2" t="s">
        <v>246</v>
      </c>
      <c r="E219" s="2" t="s">
        <v>223</v>
      </c>
      <c r="F219" s="2"/>
      <c r="G219" s="2" t="s">
        <v>224</v>
      </c>
      <c r="H219" s="3" t="s">
        <v>852</v>
      </c>
      <c r="I219" s="3">
        <v>0</v>
      </c>
      <c r="J219" s="3">
        <v>0</v>
      </c>
      <c r="K219" s="3" t="s">
        <v>852</v>
      </c>
      <c r="L219" t="s">
        <v>1071</v>
      </c>
      <c r="M219" t="s">
        <v>1072</v>
      </c>
      <c r="N219" t="s">
        <v>1073</v>
      </c>
      <c r="O219" t="s">
        <v>1074</v>
      </c>
      <c r="P219" t="s">
        <v>1075</v>
      </c>
      <c r="Q219" t="s">
        <v>1076</v>
      </c>
      <c r="R219" t="s">
        <v>1077</v>
      </c>
      <c r="S219" t="s">
        <v>1078</v>
      </c>
      <c r="T219" t="s">
        <v>1079</v>
      </c>
      <c r="U219" t="s">
        <v>1080</v>
      </c>
      <c r="V219" t="s">
        <v>1081</v>
      </c>
      <c r="W219" t="s">
        <v>1082</v>
      </c>
      <c r="X219">
        <v>20240630</v>
      </c>
      <c r="Y219" t="s">
        <v>1083</v>
      </c>
      <c r="Z219" t="s">
        <v>1084</v>
      </c>
      <c r="AA219" s="11" t="str">
        <f t="shared" si="3"/>
        <v>EXEC [dbo].[BalanceGeneralInsertar] @Nivel ='Auxiliar',@Transaccional ='Sí',@CodigoCuentaContable ='14350112', @NombreCuentaContable ='RF CREMA',@Identificacion ='901434038',@Sucursal ='',@NombreTercero ='DAXA QUALITY SAS',@SaldoInicial = -3800036.22,@MovimientoDebito = 0,@MovimientoCredito =0,@SaldoFinal = 0,@Fecha ='20240630',@IdentificacionCliente = '901434038';</v>
      </c>
      <c r="AB219" t="s">
        <v>1085</v>
      </c>
    </row>
    <row r="220" spans="1:28" x14ac:dyDescent="0.25">
      <c r="A220" s="2" t="s">
        <v>28</v>
      </c>
      <c r="B220" s="2" t="s">
        <v>29</v>
      </c>
      <c r="C220" s="2" t="s">
        <v>245</v>
      </c>
      <c r="D220" s="2" t="s">
        <v>246</v>
      </c>
      <c r="E220" s="2" t="s">
        <v>99</v>
      </c>
      <c r="F220" s="2"/>
      <c r="G220" s="2" t="s">
        <v>100</v>
      </c>
      <c r="H220" s="3">
        <v>4515000</v>
      </c>
      <c r="I220" s="3">
        <v>0</v>
      </c>
      <c r="J220" s="3">
        <v>0</v>
      </c>
      <c r="K220" s="3">
        <v>4515000</v>
      </c>
      <c r="L220" t="s">
        <v>1071</v>
      </c>
      <c r="M220" t="s">
        <v>1072</v>
      </c>
      <c r="N220" t="s">
        <v>1073</v>
      </c>
      <c r="O220" t="s">
        <v>1074</v>
      </c>
      <c r="P220" t="s">
        <v>1075</v>
      </c>
      <c r="Q220" t="s">
        <v>1076</v>
      </c>
      <c r="R220" t="s">
        <v>1077</v>
      </c>
      <c r="S220" t="s">
        <v>1078</v>
      </c>
      <c r="T220" t="s">
        <v>1079</v>
      </c>
      <c r="U220" t="s">
        <v>1080</v>
      </c>
      <c r="V220" t="s">
        <v>1081</v>
      </c>
      <c r="W220" t="s">
        <v>1082</v>
      </c>
      <c r="X220">
        <v>20240630</v>
      </c>
      <c r="Y220" t="s">
        <v>1083</v>
      </c>
      <c r="Z220" t="s">
        <v>1084</v>
      </c>
      <c r="AA220" s="11" t="str">
        <f t="shared" si="3"/>
        <v>EXEC [dbo].[BalanceGeneralInsertar] @Nivel ='Auxiliar',@Transaccional ='Sí',@CodigoCuentaContable ='14350112', @NombreCuentaContable ='RF CREMA',@Identificacion ='900397663',@Sucursal ='',@NombreTercero ='BTL COLOMBIA SAS',@SaldoInicial = 4515000,@MovimientoDebito = 0,@MovimientoCredito =0,@SaldoFinal = 0,@Fecha ='20240630',@IdentificacionCliente = '901434038';</v>
      </c>
      <c r="AB220" t="s">
        <v>1085</v>
      </c>
    </row>
    <row r="221" spans="1:28" x14ac:dyDescent="0.25">
      <c r="A221" s="2" t="s">
        <v>28</v>
      </c>
      <c r="B221" s="2" t="s">
        <v>29</v>
      </c>
      <c r="C221" s="2" t="s">
        <v>247</v>
      </c>
      <c r="D221" s="2" t="s">
        <v>248</v>
      </c>
      <c r="E221" s="2" t="s">
        <v>223</v>
      </c>
      <c r="F221" s="2"/>
      <c r="G221" s="2" t="s">
        <v>224</v>
      </c>
      <c r="H221" s="3">
        <v>-3317000</v>
      </c>
      <c r="I221" s="3">
        <v>0</v>
      </c>
      <c r="J221" s="3">
        <v>0</v>
      </c>
      <c r="K221" s="3">
        <v>-3317000</v>
      </c>
      <c r="L221" t="s">
        <v>1071</v>
      </c>
      <c r="M221" t="s">
        <v>1072</v>
      </c>
      <c r="N221" t="s">
        <v>1073</v>
      </c>
      <c r="O221" t="s">
        <v>1074</v>
      </c>
      <c r="P221" t="s">
        <v>1075</v>
      </c>
      <c r="Q221" t="s">
        <v>1076</v>
      </c>
      <c r="R221" t="s">
        <v>1077</v>
      </c>
      <c r="S221" t="s">
        <v>1078</v>
      </c>
      <c r="T221" t="s">
        <v>1079</v>
      </c>
      <c r="U221" t="s">
        <v>1080</v>
      </c>
      <c r="V221" t="s">
        <v>1081</v>
      </c>
      <c r="W221" t="s">
        <v>1082</v>
      </c>
      <c r="X221">
        <v>20240630</v>
      </c>
      <c r="Y221" t="s">
        <v>1083</v>
      </c>
      <c r="Z221" t="s">
        <v>1084</v>
      </c>
      <c r="AA221" s="11" t="str">
        <f t="shared" si="3"/>
        <v>EXEC [dbo].[BalanceGeneralInsertar] @Nivel ='Auxiliar',@Transaccional ='Sí',@CodigoCuentaContable ='14350113', @NombreCuentaContable ='ACEITE MINERAL PARA EXILIS',@Identificacion ='901434038',@Sucursal ='',@NombreTercero ='DAXA QUALITY SAS',@SaldoInicial = -3317000,@MovimientoDebito = 0,@MovimientoCredito =0,@SaldoFinal = 0,@Fecha ='20240630',@IdentificacionCliente = '901434038';</v>
      </c>
      <c r="AB221" t="s">
        <v>1085</v>
      </c>
    </row>
    <row r="222" spans="1:28" x14ac:dyDescent="0.25">
      <c r="A222" s="2" t="s">
        <v>28</v>
      </c>
      <c r="B222" s="2" t="s">
        <v>29</v>
      </c>
      <c r="C222" s="2" t="s">
        <v>247</v>
      </c>
      <c r="D222" s="2" t="s">
        <v>248</v>
      </c>
      <c r="E222" s="2" t="s">
        <v>99</v>
      </c>
      <c r="F222" s="2"/>
      <c r="G222" s="2" t="s">
        <v>100</v>
      </c>
      <c r="H222" s="3">
        <v>3469200</v>
      </c>
      <c r="I222" s="3">
        <v>90000</v>
      </c>
      <c r="J222" s="3">
        <v>0</v>
      </c>
      <c r="K222" s="3">
        <v>3559200</v>
      </c>
      <c r="L222" t="s">
        <v>1071</v>
      </c>
      <c r="M222" t="s">
        <v>1072</v>
      </c>
      <c r="N222" t="s">
        <v>1073</v>
      </c>
      <c r="O222" t="s">
        <v>1074</v>
      </c>
      <c r="P222" t="s">
        <v>1075</v>
      </c>
      <c r="Q222" t="s">
        <v>1076</v>
      </c>
      <c r="R222" t="s">
        <v>1077</v>
      </c>
      <c r="S222" t="s">
        <v>1078</v>
      </c>
      <c r="T222" t="s">
        <v>1079</v>
      </c>
      <c r="U222" t="s">
        <v>1080</v>
      </c>
      <c r="V222" t="s">
        <v>1081</v>
      </c>
      <c r="W222" t="s">
        <v>1082</v>
      </c>
      <c r="X222">
        <v>20240630</v>
      </c>
      <c r="Y222" t="s">
        <v>1083</v>
      </c>
      <c r="Z222" t="s">
        <v>1084</v>
      </c>
      <c r="AA222" s="11" t="str">
        <f t="shared" si="3"/>
        <v>EXEC [dbo].[BalanceGeneralInsertar] @Nivel ='Auxiliar',@Transaccional ='Sí',@CodigoCuentaContable ='14350113', @NombreCuentaContable ='ACEITE MINERAL PARA EXILIS',@Identificacion ='900397663',@Sucursal ='',@NombreTercero ='BTL COLOMBIA SAS',@SaldoInicial = 3469200,@MovimientoDebito = 90000,@MovimientoCredito =0,@SaldoFinal = 0,@Fecha ='20240630',@IdentificacionCliente = '901434038';</v>
      </c>
      <c r="AB222" t="s">
        <v>1085</v>
      </c>
    </row>
    <row r="223" spans="1:28" x14ac:dyDescent="0.25">
      <c r="A223" s="2" t="s">
        <v>28</v>
      </c>
      <c r="B223" s="2" t="s">
        <v>29</v>
      </c>
      <c r="C223" s="2" t="s">
        <v>249</v>
      </c>
      <c r="D223" s="2" t="s">
        <v>250</v>
      </c>
      <c r="E223" s="2" t="s">
        <v>99</v>
      </c>
      <c r="F223" s="2"/>
      <c r="G223" s="2" t="s">
        <v>100</v>
      </c>
      <c r="H223" s="3">
        <v>690000</v>
      </c>
      <c r="I223" s="3">
        <v>0</v>
      </c>
      <c r="J223" s="3">
        <v>0</v>
      </c>
      <c r="K223" s="3">
        <v>690000</v>
      </c>
      <c r="L223" t="s">
        <v>1071</v>
      </c>
      <c r="M223" t="s">
        <v>1072</v>
      </c>
      <c r="N223" t="s">
        <v>1073</v>
      </c>
      <c r="O223" t="s">
        <v>1074</v>
      </c>
      <c r="P223" t="s">
        <v>1075</v>
      </c>
      <c r="Q223" t="s">
        <v>1076</v>
      </c>
      <c r="R223" t="s">
        <v>1077</v>
      </c>
      <c r="S223" t="s">
        <v>1078</v>
      </c>
      <c r="T223" t="s">
        <v>1079</v>
      </c>
      <c r="U223" t="s">
        <v>1080</v>
      </c>
      <c r="V223" t="s">
        <v>1081</v>
      </c>
      <c r="W223" t="s">
        <v>1082</v>
      </c>
      <c r="X223">
        <v>20240630</v>
      </c>
      <c r="Y223" t="s">
        <v>1083</v>
      </c>
      <c r="Z223" t="s">
        <v>1084</v>
      </c>
      <c r="AA223" s="11" t="str">
        <f t="shared" si="3"/>
        <v>EXEC [dbo].[BalanceGeneralInsertar] @Nivel ='Auxiliar',@Transaccional ='Sí',@CodigoCuentaContable ='14350114', @NombreCuentaContable ='CABLE DE RETORNO',@Identificacion ='900397663',@Sucursal ='',@NombreTercero ='BTL COLOMBIA SAS',@SaldoInicial = 690000,@MovimientoDebito = 0,@MovimientoCredito =0,@SaldoFinal = 0,@Fecha ='20240630',@IdentificacionCliente = '901434038';</v>
      </c>
      <c r="AB223" t="s">
        <v>1085</v>
      </c>
    </row>
    <row r="224" spans="1:28" x14ac:dyDescent="0.25">
      <c r="A224" s="2" t="s">
        <v>28</v>
      </c>
      <c r="B224" s="2" t="s">
        <v>29</v>
      </c>
      <c r="C224" s="2" t="s">
        <v>251</v>
      </c>
      <c r="D224" s="2" t="s">
        <v>252</v>
      </c>
      <c r="E224" s="2" t="s">
        <v>223</v>
      </c>
      <c r="F224" s="2"/>
      <c r="G224" s="2" t="s">
        <v>224</v>
      </c>
      <c r="H224" s="3">
        <v>-11000000</v>
      </c>
      <c r="I224" s="3">
        <v>0</v>
      </c>
      <c r="J224" s="3">
        <v>0</v>
      </c>
      <c r="K224" s="3">
        <v>-11000000</v>
      </c>
      <c r="L224" t="s">
        <v>1071</v>
      </c>
      <c r="M224" t="s">
        <v>1072</v>
      </c>
      <c r="N224" t="s">
        <v>1073</v>
      </c>
      <c r="O224" t="s">
        <v>1074</v>
      </c>
      <c r="P224" t="s">
        <v>1075</v>
      </c>
      <c r="Q224" t="s">
        <v>1076</v>
      </c>
      <c r="R224" t="s">
        <v>1077</v>
      </c>
      <c r="S224" t="s">
        <v>1078</v>
      </c>
      <c r="T224" t="s">
        <v>1079</v>
      </c>
      <c r="U224" t="s">
        <v>1080</v>
      </c>
      <c r="V224" t="s">
        <v>1081</v>
      </c>
      <c r="W224" t="s">
        <v>1082</v>
      </c>
      <c r="X224">
        <v>20240630</v>
      </c>
      <c r="Y224" t="s">
        <v>1083</v>
      </c>
      <c r="Z224" t="s">
        <v>1084</v>
      </c>
      <c r="AA224" s="11" t="str">
        <f t="shared" si="3"/>
        <v>EXEC [dbo].[BalanceGeneralInsertar] @Nivel ='Auxiliar',@Transaccional ='Sí',@CodigoCuentaContable ='14350115', @NombreCuentaContable ='APLICADOR PARA X WAVE',@Identificacion ='901434038',@Sucursal ='',@NombreTercero ='DAXA QUALITY SAS',@SaldoInicial = -11000000,@MovimientoDebito = 0,@MovimientoCredito =0,@SaldoFinal = 0,@Fecha ='20240630',@IdentificacionCliente = '901434038';</v>
      </c>
      <c r="AB224" t="s">
        <v>1085</v>
      </c>
    </row>
    <row r="225" spans="1:28" x14ac:dyDescent="0.25">
      <c r="A225" s="2" t="s">
        <v>28</v>
      </c>
      <c r="B225" s="2" t="s">
        <v>29</v>
      </c>
      <c r="C225" s="2" t="s">
        <v>251</v>
      </c>
      <c r="D225" s="2" t="s">
        <v>252</v>
      </c>
      <c r="E225" s="2" t="s">
        <v>99</v>
      </c>
      <c r="F225" s="2"/>
      <c r="G225" s="2" t="s">
        <v>100</v>
      </c>
      <c r="H225" s="3">
        <v>11000000</v>
      </c>
      <c r="I225" s="3">
        <v>0</v>
      </c>
      <c r="J225" s="3">
        <v>0</v>
      </c>
      <c r="K225" s="3">
        <v>11000000</v>
      </c>
      <c r="L225" t="s">
        <v>1071</v>
      </c>
      <c r="M225" t="s">
        <v>1072</v>
      </c>
      <c r="N225" t="s">
        <v>1073</v>
      </c>
      <c r="O225" t="s">
        <v>1074</v>
      </c>
      <c r="P225" t="s">
        <v>1075</v>
      </c>
      <c r="Q225" t="s">
        <v>1076</v>
      </c>
      <c r="R225" t="s">
        <v>1077</v>
      </c>
      <c r="S225" t="s">
        <v>1078</v>
      </c>
      <c r="T225" t="s">
        <v>1079</v>
      </c>
      <c r="U225" t="s">
        <v>1080</v>
      </c>
      <c r="V225" t="s">
        <v>1081</v>
      </c>
      <c r="W225" t="s">
        <v>1082</v>
      </c>
      <c r="X225">
        <v>20240630</v>
      </c>
      <c r="Y225" t="s">
        <v>1083</v>
      </c>
      <c r="Z225" t="s">
        <v>1084</v>
      </c>
      <c r="AA225" s="11" t="str">
        <f t="shared" si="3"/>
        <v>EXEC [dbo].[BalanceGeneralInsertar] @Nivel ='Auxiliar',@Transaccional ='Sí',@CodigoCuentaContable ='14350115', @NombreCuentaContable ='APLICADOR PARA X WAVE',@Identificacion ='900397663',@Sucursal ='',@NombreTercero ='BTL COLOMBIA SAS',@SaldoInicial = 11000000,@MovimientoDebito = 0,@MovimientoCredito =0,@SaldoFinal = 0,@Fecha ='20240630',@IdentificacionCliente = '901434038';</v>
      </c>
      <c r="AB225" t="s">
        <v>1085</v>
      </c>
    </row>
    <row r="226" spans="1:28" x14ac:dyDescent="0.25">
      <c r="A226" s="2" t="s">
        <v>28</v>
      </c>
      <c r="B226" s="2" t="s">
        <v>29</v>
      </c>
      <c r="C226" s="2" t="s">
        <v>253</v>
      </c>
      <c r="D226" s="2" t="s">
        <v>254</v>
      </c>
      <c r="E226" s="2" t="s">
        <v>223</v>
      </c>
      <c r="F226" s="2"/>
      <c r="G226" s="2" t="s">
        <v>224</v>
      </c>
      <c r="H226" s="3">
        <v>-2500000</v>
      </c>
      <c r="I226" s="3">
        <v>0</v>
      </c>
      <c r="J226" s="3">
        <v>0</v>
      </c>
      <c r="K226" s="3">
        <v>-2500000</v>
      </c>
      <c r="L226" t="s">
        <v>1071</v>
      </c>
      <c r="M226" t="s">
        <v>1072</v>
      </c>
      <c r="N226" t="s">
        <v>1073</v>
      </c>
      <c r="O226" t="s">
        <v>1074</v>
      </c>
      <c r="P226" t="s">
        <v>1075</v>
      </c>
      <c r="Q226" t="s">
        <v>1076</v>
      </c>
      <c r="R226" t="s">
        <v>1077</v>
      </c>
      <c r="S226" t="s">
        <v>1078</v>
      </c>
      <c r="T226" t="s">
        <v>1079</v>
      </c>
      <c r="U226" t="s">
        <v>1080</v>
      </c>
      <c r="V226" t="s">
        <v>1081</v>
      </c>
      <c r="W226" t="s">
        <v>1082</v>
      </c>
      <c r="X226">
        <v>20240630</v>
      </c>
      <c r="Y226" t="s">
        <v>1083</v>
      </c>
      <c r="Z226" t="s">
        <v>1084</v>
      </c>
      <c r="AA226" s="11" t="str">
        <f t="shared" si="3"/>
        <v>EXEC [dbo].[BalanceGeneralInsertar] @Nivel ='Auxiliar',@Transaccional ='Sí',@CodigoCuentaContable ='14350116', @NombreCuentaContable ='PUNTA PARA APLICADOR CORPORAL EXILIS',@Identificacion ='901434038',@Sucursal ='',@NombreTercero ='DAXA QUALITY SAS',@SaldoInicial = -2500000,@MovimientoDebito = 0,@MovimientoCredito =0,@SaldoFinal = 0,@Fecha ='20240630',@IdentificacionCliente = '901434038';</v>
      </c>
      <c r="AB226" t="s">
        <v>1085</v>
      </c>
    </row>
    <row r="227" spans="1:28" x14ac:dyDescent="0.25">
      <c r="A227" s="2" t="s">
        <v>28</v>
      </c>
      <c r="B227" s="2" t="s">
        <v>29</v>
      </c>
      <c r="C227" s="2" t="s">
        <v>253</v>
      </c>
      <c r="D227" s="2" t="s">
        <v>254</v>
      </c>
      <c r="E227" s="2" t="s">
        <v>99</v>
      </c>
      <c r="F227" s="2"/>
      <c r="G227" s="2" t="s">
        <v>100</v>
      </c>
      <c r="H227" s="3">
        <v>2500000</v>
      </c>
      <c r="I227" s="3">
        <v>0</v>
      </c>
      <c r="J227" s="3">
        <v>0</v>
      </c>
      <c r="K227" s="3">
        <v>2500000</v>
      </c>
      <c r="L227" t="s">
        <v>1071</v>
      </c>
      <c r="M227" t="s">
        <v>1072</v>
      </c>
      <c r="N227" t="s">
        <v>1073</v>
      </c>
      <c r="O227" t="s">
        <v>1074</v>
      </c>
      <c r="P227" t="s">
        <v>1075</v>
      </c>
      <c r="Q227" t="s">
        <v>1076</v>
      </c>
      <c r="R227" t="s">
        <v>1077</v>
      </c>
      <c r="S227" t="s">
        <v>1078</v>
      </c>
      <c r="T227" t="s">
        <v>1079</v>
      </c>
      <c r="U227" t="s">
        <v>1080</v>
      </c>
      <c r="V227" t="s">
        <v>1081</v>
      </c>
      <c r="W227" t="s">
        <v>1082</v>
      </c>
      <c r="X227">
        <v>20240630</v>
      </c>
      <c r="Y227" t="s">
        <v>1083</v>
      </c>
      <c r="Z227" t="s">
        <v>1084</v>
      </c>
      <c r="AA227" s="11" t="str">
        <f t="shared" si="3"/>
        <v>EXEC [dbo].[BalanceGeneralInsertar] @Nivel ='Auxiliar',@Transaccional ='Sí',@CodigoCuentaContable ='14350116', @NombreCuentaContable ='PUNTA PARA APLICADOR CORPORAL EXILIS',@Identificacion ='900397663',@Sucursal ='',@NombreTercero ='BTL COLOMBIA SAS',@SaldoInicial = 2500000,@MovimientoDebito = 0,@MovimientoCredito =0,@SaldoFinal = 0,@Fecha ='20240630',@IdentificacionCliente = '901434038';</v>
      </c>
      <c r="AB227" t="s">
        <v>1085</v>
      </c>
    </row>
    <row r="228" spans="1:28" x14ac:dyDescent="0.25">
      <c r="A228" s="2" t="s">
        <v>28</v>
      </c>
      <c r="B228" s="2" t="s">
        <v>29</v>
      </c>
      <c r="C228" s="2" t="s">
        <v>255</v>
      </c>
      <c r="D228" s="2" t="s">
        <v>256</v>
      </c>
      <c r="E228" s="2" t="s">
        <v>223</v>
      </c>
      <c r="F228" s="2"/>
      <c r="G228" s="2" t="s">
        <v>224</v>
      </c>
      <c r="H228" s="3">
        <v>-460000</v>
      </c>
      <c r="I228" s="3">
        <v>0</v>
      </c>
      <c r="J228" s="3">
        <v>0</v>
      </c>
      <c r="K228" s="3">
        <v>-460000</v>
      </c>
      <c r="L228" t="s">
        <v>1071</v>
      </c>
      <c r="M228" t="s">
        <v>1072</v>
      </c>
      <c r="N228" t="s">
        <v>1073</v>
      </c>
      <c r="O228" t="s">
        <v>1074</v>
      </c>
      <c r="P228" t="s">
        <v>1075</v>
      </c>
      <c r="Q228" t="s">
        <v>1076</v>
      </c>
      <c r="R228" t="s">
        <v>1077</v>
      </c>
      <c r="S228" t="s">
        <v>1078</v>
      </c>
      <c r="T228" t="s">
        <v>1079</v>
      </c>
      <c r="U228" t="s">
        <v>1080</v>
      </c>
      <c r="V228" t="s">
        <v>1081</v>
      </c>
      <c r="W228" t="s">
        <v>1082</v>
      </c>
      <c r="X228">
        <v>20240630</v>
      </c>
      <c r="Y228" t="s">
        <v>1083</v>
      </c>
      <c r="Z228" t="s">
        <v>1084</v>
      </c>
      <c r="AA228" s="11" t="str">
        <f t="shared" si="3"/>
        <v>EXEC [dbo].[BalanceGeneralInsertar] @Nivel ='Auxiliar',@Transaccional ='Sí',@CodigoCuentaContable ='14350117', @NombreCuentaContable ='CABLE CON ELECTRODO PARA APLICADOR EXILIS',@Identificacion ='901434038',@Sucursal ='',@NombreTercero ='DAXA QUALITY SAS',@SaldoInicial = -460000,@MovimientoDebito = 0,@MovimientoCredito =0,@SaldoFinal = 0,@Fecha ='20240630',@IdentificacionCliente = '901434038';</v>
      </c>
      <c r="AB228" t="s">
        <v>1085</v>
      </c>
    </row>
    <row r="229" spans="1:28" x14ac:dyDescent="0.25">
      <c r="A229" s="2" t="s">
        <v>28</v>
      </c>
      <c r="B229" s="2" t="s">
        <v>29</v>
      </c>
      <c r="C229" s="2" t="s">
        <v>257</v>
      </c>
      <c r="D229" s="2" t="s">
        <v>258</v>
      </c>
      <c r="E229" s="2" t="s">
        <v>223</v>
      </c>
      <c r="F229" s="2"/>
      <c r="G229" s="2" t="s">
        <v>224</v>
      </c>
      <c r="H229" s="3">
        <v>-75000</v>
      </c>
      <c r="I229" s="3">
        <v>0</v>
      </c>
      <c r="J229" s="3">
        <v>0</v>
      </c>
      <c r="K229" s="3">
        <v>-75000</v>
      </c>
      <c r="L229" t="s">
        <v>1071</v>
      </c>
      <c r="M229" t="s">
        <v>1072</v>
      </c>
      <c r="N229" t="s">
        <v>1073</v>
      </c>
      <c r="O229" t="s">
        <v>1074</v>
      </c>
      <c r="P229" t="s">
        <v>1075</v>
      </c>
      <c r="Q229" t="s">
        <v>1076</v>
      </c>
      <c r="R229" t="s">
        <v>1077</v>
      </c>
      <c r="S229" t="s">
        <v>1078</v>
      </c>
      <c r="T229" t="s">
        <v>1079</v>
      </c>
      <c r="U229" t="s">
        <v>1080</v>
      </c>
      <c r="V229" t="s">
        <v>1081</v>
      </c>
      <c r="W229" t="s">
        <v>1082</v>
      </c>
      <c r="X229">
        <v>20240630</v>
      </c>
      <c r="Y229" t="s">
        <v>1083</v>
      </c>
      <c r="Z229" t="s">
        <v>1084</v>
      </c>
      <c r="AA229" s="11" t="str">
        <f t="shared" si="3"/>
        <v>EXEC [dbo].[BalanceGeneralInsertar] @Nivel ='Auxiliar',@Transaccional ='Sí',@CodigoCuentaContable ='14350118', @NombreCuentaContable ='CABLE AC PARA EQUIPO EXILI',@Identificacion ='901434038',@Sucursal ='',@NombreTercero ='DAXA QUALITY SAS',@SaldoInicial = -75000,@MovimientoDebito = 0,@MovimientoCredito =0,@SaldoFinal = 0,@Fecha ='20240630',@IdentificacionCliente = '901434038';</v>
      </c>
      <c r="AB229" t="s">
        <v>1085</v>
      </c>
    </row>
    <row r="230" spans="1:28" x14ac:dyDescent="0.25">
      <c r="A230" s="2" t="s">
        <v>28</v>
      </c>
      <c r="B230" s="2" t="s">
        <v>29</v>
      </c>
      <c r="C230" s="2" t="s">
        <v>259</v>
      </c>
      <c r="D230" s="2" t="s">
        <v>260</v>
      </c>
      <c r="E230" s="2" t="s">
        <v>99</v>
      </c>
      <c r="F230" s="2"/>
      <c r="G230" s="2" t="s">
        <v>100</v>
      </c>
      <c r="H230" s="3">
        <v>150420000</v>
      </c>
      <c r="I230" s="3">
        <v>0</v>
      </c>
      <c r="J230" s="3">
        <v>0</v>
      </c>
      <c r="K230" s="3">
        <v>150420000</v>
      </c>
      <c r="L230" t="s">
        <v>1071</v>
      </c>
      <c r="M230" t="s">
        <v>1072</v>
      </c>
      <c r="N230" t="s">
        <v>1073</v>
      </c>
      <c r="O230" t="s">
        <v>1074</v>
      </c>
      <c r="P230" t="s">
        <v>1075</v>
      </c>
      <c r="Q230" t="s">
        <v>1076</v>
      </c>
      <c r="R230" t="s">
        <v>1077</v>
      </c>
      <c r="S230" t="s">
        <v>1078</v>
      </c>
      <c r="T230" t="s">
        <v>1079</v>
      </c>
      <c r="U230" t="s">
        <v>1080</v>
      </c>
      <c r="V230" t="s">
        <v>1081</v>
      </c>
      <c r="W230" t="s">
        <v>1082</v>
      </c>
      <c r="X230">
        <v>20240630</v>
      </c>
      <c r="Y230" t="s">
        <v>1083</v>
      </c>
      <c r="Z230" t="s">
        <v>1084</v>
      </c>
      <c r="AA230" s="11" t="str">
        <f t="shared" si="3"/>
        <v>EXEC [dbo].[BalanceGeneralInsertar] @Nivel ='Auxiliar',@Transaccional ='Sí',@CodigoCuentaContable ='14350119', @NombreCuentaContable ='BTL EMSELLA',@Identificacion ='900397663',@Sucursal ='',@NombreTercero ='BTL COLOMBIA SAS',@SaldoInicial = 150420000,@MovimientoDebito = 0,@MovimientoCredito =0,@SaldoFinal = 0,@Fecha ='20240630',@IdentificacionCliente = '901434038';</v>
      </c>
      <c r="AB230" t="s">
        <v>1085</v>
      </c>
    </row>
    <row r="231" spans="1:28" x14ac:dyDescent="0.25">
      <c r="A231" s="2" t="s">
        <v>28</v>
      </c>
      <c r="B231" s="2" t="s">
        <v>29</v>
      </c>
      <c r="C231" s="2" t="s">
        <v>261</v>
      </c>
      <c r="D231" s="2" t="s">
        <v>262</v>
      </c>
      <c r="E231" s="2" t="s">
        <v>223</v>
      </c>
      <c r="F231" s="2"/>
      <c r="G231" s="2" t="s">
        <v>224</v>
      </c>
      <c r="H231" s="3">
        <v>-6900000</v>
      </c>
      <c r="I231" s="3">
        <v>0</v>
      </c>
      <c r="J231" s="3">
        <v>0</v>
      </c>
      <c r="K231" s="3">
        <v>-6900000</v>
      </c>
      <c r="L231" t="s">
        <v>1071</v>
      </c>
      <c r="M231" t="s">
        <v>1072</v>
      </c>
      <c r="N231" t="s">
        <v>1073</v>
      </c>
      <c r="O231" t="s">
        <v>1074</v>
      </c>
      <c r="P231" t="s">
        <v>1075</v>
      </c>
      <c r="Q231" t="s">
        <v>1076</v>
      </c>
      <c r="R231" t="s">
        <v>1077</v>
      </c>
      <c r="S231" t="s">
        <v>1078</v>
      </c>
      <c r="T231" t="s">
        <v>1079</v>
      </c>
      <c r="U231" t="s">
        <v>1080</v>
      </c>
      <c r="V231" t="s">
        <v>1081</v>
      </c>
      <c r="W231" t="s">
        <v>1082</v>
      </c>
      <c r="X231">
        <v>20240630</v>
      </c>
      <c r="Y231" t="s">
        <v>1083</v>
      </c>
      <c r="Z231" t="s">
        <v>1084</v>
      </c>
      <c r="AA231" s="11" t="str">
        <f t="shared" si="3"/>
        <v>EXEC [dbo].[BalanceGeneralInsertar] @Nivel ='Auxiliar',@Transaccional ='Sí',@CodigoCuentaContable ='14350120', @NombreCuentaContable ='KIT DE RESPUESTO UNISON',@Identificacion ='901434038',@Sucursal ='',@NombreTercero ='DAXA QUALITY SAS',@SaldoInicial = -6900000,@MovimientoDebito = 0,@MovimientoCredito =0,@SaldoFinal = 0,@Fecha ='20240630',@IdentificacionCliente = '901434038';</v>
      </c>
      <c r="AB231" t="s">
        <v>1085</v>
      </c>
    </row>
    <row r="232" spans="1:28" x14ac:dyDescent="0.25">
      <c r="A232" s="2" t="s">
        <v>28</v>
      </c>
      <c r="B232" s="2" t="s">
        <v>29</v>
      </c>
      <c r="C232" s="2" t="s">
        <v>261</v>
      </c>
      <c r="D232" s="2" t="s">
        <v>262</v>
      </c>
      <c r="E232" s="2" t="s">
        <v>99</v>
      </c>
      <c r="F232" s="2"/>
      <c r="G232" s="2" t="s">
        <v>100</v>
      </c>
      <c r="H232" s="3">
        <v>7100000</v>
      </c>
      <c r="I232" s="3">
        <v>0</v>
      </c>
      <c r="J232" s="3">
        <v>0</v>
      </c>
      <c r="K232" s="3">
        <v>7100000</v>
      </c>
      <c r="L232" t="s">
        <v>1071</v>
      </c>
      <c r="M232" t="s">
        <v>1072</v>
      </c>
      <c r="N232" t="s">
        <v>1073</v>
      </c>
      <c r="O232" t="s">
        <v>1074</v>
      </c>
      <c r="P232" t="s">
        <v>1075</v>
      </c>
      <c r="Q232" t="s">
        <v>1076</v>
      </c>
      <c r="R232" t="s">
        <v>1077</v>
      </c>
      <c r="S232" t="s">
        <v>1078</v>
      </c>
      <c r="T232" t="s">
        <v>1079</v>
      </c>
      <c r="U232" t="s">
        <v>1080</v>
      </c>
      <c r="V232" t="s">
        <v>1081</v>
      </c>
      <c r="W232" t="s">
        <v>1082</v>
      </c>
      <c r="X232">
        <v>20240630</v>
      </c>
      <c r="Y232" t="s">
        <v>1083</v>
      </c>
      <c r="Z232" t="s">
        <v>1084</v>
      </c>
      <c r="AA232" s="11" t="str">
        <f t="shared" si="3"/>
        <v>EXEC [dbo].[BalanceGeneralInsertar] @Nivel ='Auxiliar',@Transaccional ='Sí',@CodigoCuentaContable ='14350120', @NombreCuentaContable ='KIT DE RESPUESTO UNISON',@Identificacion ='900397663',@Sucursal ='',@NombreTercero ='BTL COLOMBIA SAS',@SaldoInicial = 7100000,@MovimientoDebito = 0,@MovimientoCredito =0,@SaldoFinal = 0,@Fecha ='20240630',@IdentificacionCliente = '901434038';</v>
      </c>
      <c r="AB232" t="s">
        <v>1085</v>
      </c>
    </row>
    <row r="233" spans="1:28" x14ac:dyDescent="0.25">
      <c r="A233" s="2" t="s">
        <v>28</v>
      </c>
      <c r="B233" s="2" t="s">
        <v>29</v>
      </c>
      <c r="C233" s="2" t="s">
        <v>263</v>
      </c>
      <c r="D233" s="2" t="s">
        <v>264</v>
      </c>
      <c r="E233" s="2" t="s">
        <v>223</v>
      </c>
      <c r="F233" s="2"/>
      <c r="G233" s="2" t="s">
        <v>224</v>
      </c>
      <c r="H233" s="3">
        <v>-4600000</v>
      </c>
      <c r="I233" s="3">
        <v>0</v>
      </c>
      <c r="J233" s="3">
        <v>0</v>
      </c>
      <c r="K233" s="3">
        <v>-4600000</v>
      </c>
      <c r="L233" t="s">
        <v>1071</v>
      </c>
      <c r="M233" t="s">
        <v>1072</v>
      </c>
      <c r="N233" t="s">
        <v>1073</v>
      </c>
      <c r="O233" t="s">
        <v>1074</v>
      </c>
      <c r="P233" t="s">
        <v>1075</v>
      </c>
      <c r="Q233" t="s">
        <v>1076</v>
      </c>
      <c r="R233" t="s">
        <v>1077</v>
      </c>
      <c r="S233" t="s">
        <v>1078</v>
      </c>
      <c r="T233" t="s">
        <v>1079</v>
      </c>
      <c r="U233" t="s">
        <v>1080</v>
      </c>
      <c r="V233" t="s">
        <v>1081</v>
      </c>
      <c r="W233" t="s">
        <v>1082</v>
      </c>
      <c r="X233">
        <v>20240630</v>
      </c>
      <c r="Y233" t="s">
        <v>1083</v>
      </c>
      <c r="Z233" t="s">
        <v>1084</v>
      </c>
      <c r="AA233" s="11" t="str">
        <f t="shared" si="3"/>
        <v>EXEC [dbo].[BalanceGeneralInsertar] @Nivel ='Auxiliar',@Transaccional ='Sí',@CodigoCuentaContable ='14350121', @NombreCuentaContable ='KIT DE REPUESTO PARA WAVE',@Identificacion ='901434038',@Sucursal ='',@NombreTercero ='DAXA QUALITY SAS',@SaldoInicial = -4600000,@MovimientoDebito = 0,@MovimientoCredito =0,@SaldoFinal = 0,@Fecha ='20240630',@IdentificacionCliente = '901434038';</v>
      </c>
      <c r="AB233" t="s">
        <v>1085</v>
      </c>
    </row>
    <row r="234" spans="1:28" x14ac:dyDescent="0.25">
      <c r="A234" s="2" t="s">
        <v>28</v>
      </c>
      <c r="B234" s="2" t="s">
        <v>29</v>
      </c>
      <c r="C234" s="2" t="s">
        <v>263</v>
      </c>
      <c r="D234" s="2" t="s">
        <v>264</v>
      </c>
      <c r="E234" s="2" t="s">
        <v>99</v>
      </c>
      <c r="F234" s="2"/>
      <c r="G234" s="2" t="s">
        <v>100</v>
      </c>
      <c r="H234" s="3">
        <v>8800000</v>
      </c>
      <c r="I234" s="3">
        <v>0</v>
      </c>
      <c r="J234" s="3">
        <v>0</v>
      </c>
      <c r="K234" s="3">
        <v>8800000</v>
      </c>
      <c r="L234" t="s">
        <v>1071</v>
      </c>
      <c r="M234" t="s">
        <v>1072</v>
      </c>
      <c r="N234" t="s">
        <v>1073</v>
      </c>
      <c r="O234" t="s">
        <v>1074</v>
      </c>
      <c r="P234" t="s">
        <v>1075</v>
      </c>
      <c r="Q234" t="s">
        <v>1076</v>
      </c>
      <c r="R234" t="s">
        <v>1077</v>
      </c>
      <c r="S234" t="s">
        <v>1078</v>
      </c>
      <c r="T234" t="s">
        <v>1079</v>
      </c>
      <c r="U234" t="s">
        <v>1080</v>
      </c>
      <c r="V234" t="s">
        <v>1081</v>
      </c>
      <c r="W234" t="s">
        <v>1082</v>
      </c>
      <c r="X234">
        <v>20240630</v>
      </c>
      <c r="Y234" t="s">
        <v>1083</v>
      </c>
      <c r="Z234" t="s">
        <v>1084</v>
      </c>
      <c r="AA234" s="11" t="str">
        <f t="shared" si="3"/>
        <v>EXEC [dbo].[BalanceGeneralInsertar] @Nivel ='Auxiliar',@Transaccional ='Sí',@CodigoCuentaContable ='14350121', @NombreCuentaContable ='KIT DE REPUESTO PARA WAVE',@Identificacion ='900397663',@Sucursal ='',@NombreTercero ='BTL COLOMBIA SAS',@SaldoInicial = 8800000,@MovimientoDebito = 0,@MovimientoCredito =0,@SaldoFinal = 0,@Fecha ='20240630',@IdentificacionCliente = '901434038';</v>
      </c>
      <c r="AB234" t="s">
        <v>1085</v>
      </c>
    </row>
    <row r="235" spans="1:28" x14ac:dyDescent="0.25">
      <c r="A235" s="2" t="s">
        <v>28</v>
      </c>
      <c r="B235" s="2" t="s">
        <v>29</v>
      </c>
      <c r="C235" s="2" t="s">
        <v>265</v>
      </c>
      <c r="D235" s="2" t="s">
        <v>266</v>
      </c>
      <c r="E235" s="2" t="s">
        <v>223</v>
      </c>
      <c r="F235" s="2"/>
      <c r="G235" s="2" t="s">
        <v>224</v>
      </c>
      <c r="H235" s="3">
        <v>-98958327</v>
      </c>
      <c r="I235" s="3">
        <v>0</v>
      </c>
      <c r="J235" s="3">
        <v>5208333</v>
      </c>
      <c r="K235" s="3">
        <v>-104166660</v>
      </c>
      <c r="L235" t="s">
        <v>1071</v>
      </c>
      <c r="M235" t="s">
        <v>1072</v>
      </c>
      <c r="N235" t="s">
        <v>1073</v>
      </c>
      <c r="O235" t="s">
        <v>1074</v>
      </c>
      <c r="P235" t="s">
        <v>1075</v>
      </c>
      <c r="Q235" t="s">
        <v>1076</v>
      </c>
      <c r="R235" t="s">
        <v>1077</v>
      </c>
      <c r="S235" t="s">
        <v>1078</v>
      </c>
      <c r="T235" t="s">
        <v>1079</v>
      </c>
      <c r="U235" t="s">
        <v>1080</v>
      </c>
      <c r="V235" t="s">
        <v>1081</v>
      </c>
      <c r="W235" t="s">
        <v>1082</v>
      </c>
      <c r="X235">
        <v>20240630</v>
      </c>
      <c r="Y235" t="s">
        <v>1083</v>
      </c>
      <c r="Z235" t="s">
        <v>1084</v>
      </c>
      <c r="AA235" s="11" t="str">
        <f t="shared" si="3"/>
        <v>EXEC [dbo].[BalanceGeneralInsertar] @Nivel ='Auxiliar',@Transaccional ='Sí',@CodigoCuentaContable ='14350122', @NombreCuentaContable ='BTL 6000 VANQUISH',@Identificacion ='901434038',@Sucursal ='',@NombreTercero ='DAXA QUALITY SAS',@SaldoInicial = -98958327,@MovimientoDebito = 0,@MovimientoCredito =5208333,@SaldoFinal = 5208333,@Fecha ='20240630',@IdentificacionCliente = '901434038';</v>
      </c>
      <c r="AB235" t="s">
        <v>1085</v>
      </c>
    </row>
    <row r="236" spans="1:28" x14ac:dyDescent="0.25">
      <c r="A236" s="2" t="s">
        <v>28</v>
      </c>
      <c r="B236" s="2" t="s">
        <v>29</v>
      </c>
      <c r="C236" s="2" t="s">
        <v>265</v>
      </c>
      <c r="D236" s="2" t="s">
        <v>266</v>
      </c>
      <c r="E236" s="2" t="s">
        <v>99</v>
      </c>
      <c r="F236" s="2"/>
      <c r="G236" s="2" t="s">
        <v>100</v>
      </c>
      <c r="H236" s="3">
        <v>125000000</v>
      </c>
      <c r="I236" s="3">
        <v>0</v>
      </c>
      <c r="J236" s="3">
        <v>0</v>
      </c>
      <c r="K236" s="3">
        <v>125000000</v>
      </c>
      <c r="L236" t="s">
        <v>1071</v>
      </c>
      <c r="M236" t="s">
        <v>1072</v>
      </c>
      <c r="N236" t="s">
        <v>1073</v>
      </c>
      <c r="O236" t="s">
        <v>1074</v>
      </c>
      <c r="P236" t="s">
        <v>1075</v>
      </c>
      <c r="Q236" t="s">
        <v>1076</v>
      </c>
      <c r="R236" t="s">
        <v>1077</v>
      </c>
      <c r="S236" t="s">
        <v>1078</v>
      </c>
      <c r="T236" t="s">
        <v>1079</v>
      </c>
      <c r="U236" t="s">
        <v>1080</v>
      </c>
      <c r="V236" t="s">
        <v>1081</v>
      </c>
      <c r="W236" t="s">
        <v>1082</v>
      </c>
      <c r="X236">
        <v>20240630</v>
      </c>
      <c r="Y236" t="s">
        <v>1083</v>
      </c>
      <c r="Z236" t="s">
        <v>1084</v>
      </c>
      <c r="AA236" s="11" t="str">
        <f t="shared" si="3"/>
        <v>EXEC [dbo].[BalanceGeneralInsertar] @Nivel ='Auxiliar',@Transaccional ='Sí',@CodigoCuentaContable ='14350122', @NombreCuentaContable ='BTL 6000 VANQUISH',@Identificacion ='900397663',@Sucursal ='',@NombreTercero ='BTL COLOMBIA SAS',@SaldoInicial = 125000000,@MovimientoDebito = 0,@MovimientoCredito =0,@SaldoFinal = 0,@Fecha ='20240630',@IdentificacionCliente = '901434038';</v>
      </c>
      <c r="AB236" t="s">
        <v>1085</v>
      </c>
    </row>
    <row r="237" spans="1:28" x14ac:dyDescent="0.25">
      <c r="A237" s="2" t="s">
        <v>28</v>
      </c>
      <c r="B237" s="2" t="s">
        <v>29</v>
      </c>
      <c r="C237" s="2" t="s">
        <v>267</v>
      </c>
      <c r="D237" s="2" t="s">
        <v>268</v>
      </c>
      <c r="E237" s="2" t="s">
        <v>223</v>
      </c>
      <c r="F237" s="2"/>
      <c r="G237" s="2" t="s">
        <v>224</v>
      </c>
      <c r="H237" s="3">
        <v>-105882352</v>
      </c>
      <c r="I237" s="3">
        <v>0</v>
      </c>
      <c r="J237" s="3">
        <v>6617647</v>
      </c>
      <c r="K237" s="3">
        <v>-112499999</v>
      </c>
      <c r="L237" t="s">
        <v>1071</v>
      </c>
      <c r="M237" t="s">
        <v>1072</v>
      </c>
      <c r="N237" t="s">
        <v>1073</v>
      </c>
      <c r="O237" t="s">
        <v>1074</v>
      </c>
      <c r="P237" t="s">
        <v>1075</v>
      </c>
      <c r="Q237" t="s">
        <v>1076</v>
      </c>
      <c r="R237" t="s">
        <v>1077</v>
      </c>
      <c r="S237" t="s">
        <v>1078</v>
      </c>
      <c r="T237" t="s">
        <v>1079</v>
      </c>
      <c r="U237" t="s">
        <v>1080</v>
      </c>
      <c r="V237" t="s">
        <v>1081</v>
      </c>
      <c r="W237" t="s">
        <v>1082</v>
      </c>
      <c r="X237">
        <v>20240630</v>
      </c>
      <c r="Y237" t="s">
        <v>1083</v>
      </c>
      <c r="Z237" t="s">
        <v>1084</v>
      </c>
      <c r="AA237" s="11" t="str">
        <f t="shared" si="3"/>
        <v>EXEC [dbo].[BalanceGeneralInsertar] @Nivel ='Auxiliar',@Transaccional ='Sí',@CodigoCuentaContable ='14350124', @NombreCuentaContable ='EMTONE-CABARCA',@Identificacion ='901434038',@Sucursal ='',@NombreTercero ='DAXA QUALITY SAS',@SaldoInicial = -105882352,@MovimientoDebito = 0,@MovimientoCredito =6617647,@SaldoFinal = 6617647,@Fecha ='20240630',@IdentificacionCliente = '901434038';</v>
      </c>
      <c r="AB237" t="s">
        <v>1085</v>
      </c>
    </row>
    <row r="238" spans="1:28" x14ac:dyDescent="0.25">
      <c r="A238" s="2" t="s">
        <v>28</v>
      </c>
      <c r="B238" s="2" t="s">
        <v>29</v>
      </c>
      <c r="C238" s="2" t="s">
        <v>267</v>
      </c>
      <c r="D238" s="2" t="s">
        <v>268</v>
      </c>
      <c r="E238" s="2" t="s">
        <v>99</v>
      </c>
      <c r="F238" s="2"/>
      <c r="G238" s="2" t="s">
        <v>100</v>
      </c>
      <c r="H238" s="3">
        <v>161123530</v>
      </c>
      <c r="I238" s="3">
        <v>0</v>
      </c>
      <c r="J238" s="3">
        <v>0</v>
      </c>
      <c r="K238" s="3">
        <v>161123530</v>
      </c>
      <c r="L238" t="s">
        <v>1071</v>
      </c>
      <c r="M238" t="s">
        <v>1072</v>
      </c>
      <c r="N238" t="s">
        <v>1073</v>
      </c>
      <c r="O238" t="s">
        <v>1074</v>
      </c>
      <c r="P238" t="s">
        <v>1075</v>
      </c>
      <c r="Q238" t="s">
        <v>1076</v>
      </c>
      <c r="R238" t="s">
        <v>1077</v>
      </c>
      <c r="S238" t="s">
        <v>1078</v>
      </c>
      <c r="T238" t="s">
        <v>1079</v>
      </c>
      <c r="U238" t="s">
        <v>1080</v>
      </c>
      <c r="V238" t="s">
        <v>1081</v>
      </c>
      <c r="W238" t="s">
        <v>1082</v>
      </c>
      <c r="X238">
        <v>20240630</v>
      </c>
      <c r="Y238" t="s">
        <v>1083</v>
      </c>
      <c r="Z238" t="s">
        <v>1084</v>
      </c>
      <c r="AA238" s="11" t="str">
        <f t="shared" si="3"/>
        <v>EXEC [dbo].[BalanceGeneralInsertar] @Nivel ='Auxiliar',@Transaccional ='Sí',@CodigoCuentaContable ='14350124', @NombreCuentaContable ='EMTONE-CABARCA',@Identificacion ='900397663',@Sucursal ='',@NombreTercero ='BTL COLOMBIA SAS',@SaldoInicial = 161123530,@MovimientoDebito = 0,@MovimientoCredito =0,@SaldoFinal = 0,@Fecha ='20240630',@IdentificacionCliente = '901434038';</v>
      </c>
      <c r="AB238" t="s">
        <v>1085</v>
      </c>
    </row>
    <row r="239" spans="1:28" x14ac:dyDescent="0.25">
      <c r="A239" s="2" t="s">
        <v>28</v>
      </c>
      <c r="B239" s="2" t="s">
        <v>29</v>
      </c>
      <c r="C239" s="2" t="s">
        <v>269</v>
      </c>
      <c r="D239" s="2" t="s">
        <v>270</v>
      </c>
      <c r="E239" s="2" t="s">
        <v>223</v>
      </c>
      <c r="F239" s="2"/>
      <c r="G239" s="2" t="s">
        <v>224</v>
      </c>
      <c r="H239" s="3">
        <v>-132708330</v>
      </c>
      <c r="I239" s="3">
        <v>0</v>
      </c>
      <c r="J239" s="3">
        <v>3402778</v>
      </c>
      <c r="K239" s="3">
        <v>-136111108</v>
      </c>
      <c r="L239" t="s">
        <v>1071</v>
      </c>
      <c r="M239" t="s">
        <v>1072</v>
      </c>
      <c r="N239" t="s">
        <v>1073</v>
      </c>
      <c r="O239" t="s">
        <v>1074</v>
      </c>
      <c r="P239" t="s">
        <v>1075</v>
      </c>
      <c r="Q239" t="s">
        <v>1076</v>
      </c>
      <c r="R239" t="s">
        <v>1077</v>
      </c>
      <c r="S239" t="s">
        <v>1078</v>
      </c>
      <c r="T239" t="s">
        <v>1079</v>
      </c>
      <c r="U239" t="s">
        <v>1080</v>
      </c>
      <c r="V239" t="s">
        <v>1081</v>
      </c>
      <c r="W239" t="s">
        <v>1082</v>
      </c>
      <c r="X239">
        <v>20240630</v>
      </c>
      <c r="Y239" t="s">
        <v>1083</v>
      </c>
      <c r="Z239" t="s">
        <v>1084</v>
      </c>
      <c r="AA239" s="11" t="str">
        <f t="shared" si="3"/>
        <v>EXEC [dbo].[BalanceGeneralInsertar] @Nivel ='Auxiliar',@Transaccional ='Sí',@CodigoCuentaContable ='14350125', @NombreCuentaContable ='BTL EMSCULPT ',@Identificacion ='901434038',@Sucursal ='',@NombreTercero ='DAXA QUALITY SAS',@SaldoInicial = -132708330,@MovimientoDebito = 0,@MovimientoCredito =3402778,@SaldoFinal = 3402778,@Fecha ='20240630',@IdentificacionCliente = '901434038';</v>
      </c>
      <c r="AB239" t="s">
        <v>1085</v>
      </c>
    </row>
    <row r="240" spans="1:28" x14ac:dyDescent="0.25">
      <c r="A240" s="2" t="s">
        <v>28</v>
      </c>
      <c r="B240" s="2" t="s">
        <v>29</v>
      </c>
      <c r="C240" s="2" t="s">
        <v>269</v>
      </c>
      <c r="D240" s="2" t="s">
        <v>270</v>
      </c>
      <c r="E240" s="2" t="s">
        <v>99</v>
      </c>
      <c r="F240" s="2"/>
      <c r="G240" s="2" t="s">
        <v>100</v>
      </c>
      <c r="H240" s="3">
        <v>201801700</v>
      </c>
      <c r="I240" s="3">
        <v>0</v>
      </c>
      <c r="J240" s="3">
        <v>0</v>
      </c>
      <c r="K240" s="3">
        <v>201801700</v>
      </c>
      <c r="L240" t="s">
        <v>1071</v>
      </c>
      <c r="M240" t="s">
        <v>1072</v>
      </c>
      <c r="N240" t="s">
        <v>1073</v>
      </c>
      <c r="O240" t="s">
        <v>1074</v>
      </c>
      <c r="P240" t="s">
        <v>1075</v>
      </c>
      <c r="Q240" t="s">
        <v>1076</v>
      </c>
      <c r="R240" t="s">
        <v>1077</v>
      </c>
      <c r="S240" t="s">
        <v>1078</v>
      </c>
      <c r="T240" t="s">
        <v>1079</v>
      </c>
      <c r="U240" t="s">
        <v>1080</v>
      </c>
      <c r="V240" t="s">
        <v>1081</v>
      </c>
      <c r="W240" t="s">
        <v>1082</v>
      </c>
      <c r="X240">
        <v>20240630</v>
      </c>
      <c r="Y240" t="s">
        <v>1083</v>
      </c>
      <c r="Z240" t="s">
        <v>1084</v>
      </c>
      <c r="AA240" s="11" t="str">
        <f t="shared" si="3"/>
        <v>EXEC [dbo].[BalanceGeneralInsertar] @Nivel ='Auxiliar',@Transaccional ='Sí',@CodigoCuentaContable ='14350125', @NombreCuentaContable ='BTL EMSCULPT ',@Identificacion ='900397663',@Sucursal ='',@NombreTercero ='BTL COLOMBIA SAS',@SaldoInicial = 201801700,@MovimientoDebito = 0,@MovimientoCredito =0,@SaldoFinal = 0,@Fecha ='20240630',@IdentificacionCliente = '901434038';</v>
      </c>
      <c r="AB240" t="s">
        <v>1085</v>
      </c>
    </row>
    <row r="241" spans="1:28" x14ac:dyDescent="0.25">
      <c r="A241" s="2" t="s">
        <v>28</v>
      </c>
      <c r="B241" s="2" t="s">
        <v>29</v>
      </c>
      <c r="C241" s="2" t="s">
        <v>271</v>
      </c>
      <c r="D241" s="2" t="s">
        <v>272</v>
      </c>
      <c r="E241" s="2" t="s">
        <v>99</v>
      </c>
      <c r="F241" s="2"/>
      <c r="G241" s="2" t="s">
        <v>100</v>
      </c>
      <c r="H241" s="3">
        <v>30000000</v>
      </c>
      <c r="I241" s="3">
        <v>0</v>
      </c>
      <c r="J241" s="3">
        <v>0</v>
      </c>
      <c r="K241" s="3">
        <v>30000000</v>
      </c>
      <c r="L241" t="s">
        <v>1071</v>
      </c>
      <c r="M241" t="s">
        <v>1072</v>
      </c>
      <c r="N241" t="s">
        <v>1073</v>
      </c>
      <c r="O241" t="s">
        <v>1074</v>
      </c>
      <c r="P241" t="s">
        <v>1075</v>
      </c>
      <c r="Q241" t="s">
        <v>1076</v>
      </c>
      <c r="R241" t="s">
        <v>1077</v>
      </c>
      <c r="S241" t="s">
        <v>1078</v>
      </c>
      <c r="T241" t="s">
        <v>1079</v>
      </c>
      <c r="U241" t="s">
        <v>1080</v>
      </c>
      <c r="V241" t="s">
        <v>1081</v>
      </c>
      <c r="W241" t="s">
        <v>1082</v>
      </c>
      <c r="X241">
        <v>20240630</v>
      </c>
      <c r="Y241" t="s">
        <v>1083</v>
      </c>
      <c r="Z241" t="s">
        <v>1084</v>
      </c>
      <c r="AA241" s="11" t="str">
        <f t="shared" si="3"/>
        <v>EXEC [dbo].[BalanceGeneralInsertar] @Nivel ='Auxiliar',@Transaccional ='Sí',@CodigoCuentaContable ='14350126', @NombreCuentaContable ='SET (2 UNID) APLICADOR EMSCULPT',@Identificacion ='900397663',@Sucursal ='',@NombreTercero ='BTL COLOMBIA SAS',@SaldoInicial = 30000000,@MovimientoDebito = 0,@MovimientoCredito =0,@SaldoFinal = 0,@Fecha ='20240630',@IdentificacionCliente = '901434038';</v>
      </c>
      <c r="AB241" t="s">
        <v>1085</v>
      </c>
    </row>
    <row r="242" spans="1:28" x14ac:dyDescent="0.25">
      <c r="A242" s="2" t="s">
        <v>28</v>
      </c>
      <c r="B242" s="2" t="s">
        <v>29</v>
      </c>
      <c r="C242" s="2" t="s">
        <v>273</v>
      </c>
      <c r="D242" s="2" t="s">
        <v>274</v>
      </c>
      <c r="E242" s="2" t="s">
        <v>99</v>
      </c>
      <c r="F242" s="2"/>
      <c r="G242" s="2" t="s">
        <v>100</v>
      </c>
      <c r="H242" s="3">
        <v>10900000</v>
      </c>
      <c r="I242" s="3">
        <v>0</v>
      </c>
      <c r="J242" s="3">
        <v>0</v>
      </c>
      <c r="K242" s="3">
        <v>10900000</v>
      </c>
      <c r="L242" t="s">
        <v>1071</v>
      </c>
      <c r="M242" t="s">
        <v>1072</v>
      </c>
      <c r="N242" t="s">
        <v>1073</v>
      </c>
      <c r="O242" t="s">
        <v>1074</v>
      </c>
      <c r="P242" t="s">
        <v>1075</v>
      </c>
      <c r="Q242" t="s">
        <v>1076</v>
      </c>
      <c r="R242" t="s">
        <v>1077</v>
      </c>
      <c r="S242" t="s">
        <v>1078</v>
      </c>
      <c r="T242" t="s">
        <v>1079</v>
      </c>
      <c r="U242" t="s">
        <v>1080</v>
      </c>
      <c r="V242" t="s">
        <v>1081</v>
      </c>
      <c r="W242" t="s">
        <v>1082</v>
      </c>
      <c r="X242">
        <v>20240630</v>
      </c>
      <c r="Y242" t="s">
        <v>1083</v>
      </c>
      <c r="Z242" t="s">
        <v>1084</v>
      </c>
      <c r="AA242" s="11" t="str">
        <f t="shared" si="3"/>
        <v>EXEC [dbo].[BalanceGeneralInsertar] @Nivel ='Auxiliar',@Transaccional ='Sí',@CodigoCuentaContable ='14350127', @NombreCuentaContable ='APLICADOR EMSCULPT SMALL',@Identificacion ='900397663',@Sucursal ='',@NombreTercero ='BTL COLOMBIA SAS',@SaldoInicial = 10900000,@MovimientoDebito = 0,@MovimientoCredito =0,@SaldoFinal = 0,@Fecha ='20240630',@IdentificacionCliente = '901434038';</v>
      </c>
      <c r="AB242" t="s">
        <v>1085</v>
      </c>
    </row>
    <row r="243" spans="1:28" x14ac:dyDescent="0.25">
      <c r="A243" s="2" t="s">
        <v>28</v>
      </c>
      <c r="B243" s="2" t="s">
        <v>29</v>
      </c>
      <c r="C243" s="2" t="s">
        <v>275</v>
      </c>
      <c r="D243" s="2" t="s">
        <v>276</v>
      </c>
      <c r="E243" s="2" t="s">
        <v>223</v>
      </c>
      <c r="F243" s="2"/>
      <c r="G243" s="2" t="s">
        <v>224</v>
      </c>
      <c r="H243" s="3">
        <v>-244623757</v>
      </c>
      <c r="I243" s="3">
        <v>0</v>
      </c>
      <c r="J243" s="3">
        <v>15169086</v>
      </c>
      <c r="K243" s="3">
        <v>-259792843</v>
      </c>
      <c r="L243" t="s">
        <v>1071</v>
      </c>
      <c r="M243" t="s">
        <v>1072</v>
      </c>
      <c r="N243" t="s">
        <v>1073</v>
      </c>
      <c r="O243" t="s">
        <v>1074</v>
      </c>
      <c r="P243" t="s">
        <v>1075</v>
      </c>
      <c r="Q243" t="s">
        <v>1076</v>
      </c>
      <c r="R243" t="s">
        <v>1077</v>
      </c>
      <c r="S243" t="s">
        <v>1078</v>
      </c>
      <c r="T243" t="s">
        <v>1079</v>
      </c>
      <c r="U243" t="s">
        <v>1080</v>
      </c>
      <c r="V243" t="s">
        <v>1081</v>
      </c>
      <c r="W243" t="s">
        <v>1082</v>
      </c>
      <c r="X243">
        <v>20240630</v>
      </c>
      <c r="Y243" t="s">
        <v>1083</v>
      </c>
      <c r="Z243" t="s">
        <v>1084</v>
      </c>
      <c r="AA243" s="11" t="str">
        <f t="shared" si="3"/>
        <v>EXEC [dbo].[BalanceGeneralInsertar] @Nivel ='Auxiliar',@Transaccional ='Sí',@CodigoCuentaContable ='14350128', @NombreCuentaContable ='BTL EMSCULPT NEO',@Identificacion ='901434038',@Sucursal ='',@NombreTercero ='DAXA QUALITY SAS',@SaldoInicial = -244623757,@MovimientoDebito = 0,@MovimientoCredito =15169086,@SaldoFinal = 15169086,@Fecha ='20240630',@IdentificacionCliente = '901434038';</v>
      </c>
      <c r="AB243" t="s">
        <v>1085</v>
      </c>
    </row>
    <row r="244" spans="1:28" x14ac:dyDescent="0.25">
      <c r="A244" s="2" t="s">
        <v>28</v>
      </c>
      <c r="B244" s="2" t="s">
        <v>29</v>
      </c>
      <c r="C244" s="2" t="s">
        <v>275</v>
      </c>
      <c r="D244" s="2" t="s">
        <v>276</v>
      </c>
      <c r="E244" s="2" t="s">
        <v>99</v>
      </c>
      <c r="F244" s="2"/>
      <c r="G244" s="2" t="s">
        <v>100</v>
      </c>
      <c r="H244" s="3">
        <v>505543572</v>
      </c>
      <c r="I244" s="3">
        <v>0</v>
      </c>
      <c r="J244" s="3">
        <v>0</v>
      </c>
      <c r="K244" s="3">
        <v>505543572</v>
      </c>
      <c r="L244" t="s">
        <v>1071</v>
      </c>
      <c r="M244" t="s">
        <v>1072</v>
      </c>
      <c r="N244" t="s">
        <v>1073</v>
      </c>
      <c r="O244" t="s">
        <v>1074</v>
      </c>
      <c r="P244" t="s">
        <v>1075</v>
      </c>
      <c r="Q244" t="s">
        <v>1076</v>
      </c>
      <c r="R244" t="s">
        <v>1077</v>
      </c>
      <c r="S244" t="s">
        <v>1078</v>
      </c>
      <c r="T244" t="s">
        <v>1079</v>
      </c>
      <c r="U244" t="s">
        <v>1080</v>
      </c>
      <c r="V244" t="s">
        <v>1081</v>
      </c>
      <c r="W244" t="s">
        <v>1082</v>
      </c>
      <c r="X244">
        <v>20240630</v>
      </c>
      <c r="Y244" t="s">
        <v>1083</v>
      </c>
      <c r="Z244" t="s">
        <v>1084</v>
      </c>
      <c r="AA244" s="11" t="str">
        <f t="shared" si="3"/>
        <v>EXEC [dbo].[BalanceGeneralInsertar] @Nivel ='Auxiliar',@Transaccional ='Sí',@CodigoCuentaContable ='14350128', @NombreCuentaContable ='BTL EMSCULPT NEO',@Identificacion ='900397663',@Sucursal ='',@NombreTercero ='BTL COLOMBIA SAS',@SaldoInicial = 505543572,@MovimientoDebito = 0,@MovimientoCredito =0,@SaldoFinal = 0,@Fecha ='20240630',@IdentificacionCliente = '901434038';</v>
      </c>
      <c r="AB244" t="s">
        <v>1085</v>
      </c>
    </row>
    <row r="245" spans="1:28" x14ac:dyDescent="0.25">
      <c r="A245" s="2" t="s">
        <v>28</v>
      </c>
      <c r="B245" s="2" t="s">
        <v>29</v>
      </c>
      <c r="C245" s="2" t="s">
        <v>277</v>
      </c>
      <c r="D245" s="2" t="s">
        <v>278</v>
      </c>
      <c r="E245" s="2" t="s">
        <v>99</v>
      </c>
      <c r="F245" s="2"/>
      <c r="G245" s="2" t="s">
        <v>100</v>
      </c>
      <c r="H245" s="3">
        <v>15000000</v>
      </c>
      <c r="I245" s="3">
        <v>0</v>
      </c>
      <c r="J245" s="3">
        <v>0</v>
      </c>
      <c r="K245" s="3">
        <v>15000000</v>
      </c>
      <c r="L245" t="s">
        <v>1071</v>
      </c>
      <c r="M245" t="s">
        <v>1072</v>
      </c>
      <c r="N245" t="s">
        <v>1073</v>
      </c>
      <c r="O245" t="s">
        <v>1074</v>
      </c>
      <c r="P245" t="s">
        <v>1075</v>
      </c>
      <c r="Q245" t="s">
        <v>1076</v>
      </c>
      <c r="R245" t="s">
        <v>1077</v>
      </c>
      <c r="S245" t="s">
        <v>1078</v>
      </c>
      <c r="T245" t="s">
        <v>1079</v>
      </c>
      <c r="U245" t="s">
        <v>1080</v>
      </c>
      <c r="V245" t="s">
        <v>1081</v>
      </c>
      <c r="W245" t="s">
        <v>1082</v>
      </c>
      <c r="X245">
        <v>20240630</v>
      </c>
      <c r="Y245" t="s">
        <v>1083</v>
      </c>
      <c r="Z245" t="s">
        <v>1084</v>
      </c>
      <c r="AA245" s="11" t="str">
        <f t="shared" si="3"/>
        <v>EXEC [dbo].[BalanceGeneralInsertar] @Nivel ='Auxiliar',@Transaccional ='Sí',@CodigoCuentaContable ='14350129', @NombreCuentaContable ='APLICADOR SMALL EMSCULPT NEO',@Identificacion ='900397663',@Sucursal ='',@NombreTercero ='BTL COLOMBIA SAS',@SaldoInicial = 15000000,@MovimientoDebito = 0,@MovimientoCredito =0,@SaldoFinal = 0,@Fecha ='20240630',@IdentificacionCliente = '901434038';</v>
      </c>
      <c r="AB245" t="s">
        <v>1085</v>
      </c>
    </row>
    <row r="246" spans="1:28" x14ac:dyDescent="0.25">
      <c r="A246" s="2" t="s">
        <v>28</v>
      </c>
      <c r="B246" s="2" t="s">
        <v>29</v>
      </c>
      <c r="C246" s="2" t="s">
        <v>279</v>
      </c>
      <c r="D246" s="2" t="s">
        <v>280</v>
      </c>
      <c r="E246" s="2" t="s">
        <v>99</v>
      </c>
      <c r="F246" s="2"/>
      <c r="G246" s="2" t="s">
        <v>100</v>
      </c>
      <c r="H246" s="3">
        <v>30000000</v>
      </c>
      <c r="I246" s="3">
        <v>0</v>
      </c>
      <c r="J246" s="3">
        <v>0</v>
      </c>
      <c r="K246" s="3">
        <v>30000000</v>
      </c>
      <c r="L246" t="s">
        <v>1071</v>
      </c>
      <c r="M246" t="s">
        <v>1072</v>
      </c>
      <c r="N246" t="s">
        <v>1073</v>
      </c>
      <c r="O246" t="s">
        <v>1074</v>
      </c>
      <c r="P246" t="s">
        <v>1075</v>
      </c>
      <c r="Q246" t="s">
        <v>1076</v>
      </c>
      <c r="R246" t="s">
        <v>1077</v>
      </c>
      <c r="S246" t="s">
        <v>1078</v>
      </c>
      <c r="T246" t="s">
        <v>1079</v>
      </c>
      <c r="U246" t="s">
        <v>1080</v>
      </c>
      <c r="V246" t="s">
        <v>1081</v>
      </c>
      <c r="W246" t="s">
        <v>1082</v>
      </c>
      <c r="X246">
        <v>20240630</v>
      </c>
      <c r="Y246" t="s">
        <v>1083</v>
      </c>
      <c r="Z246" t="s">
        <v>1084</v>
      </c>
      <c r="AA246" s="11" t="str">
        <f t="shared" si="3"/>
        <v>EXEC [dbo].[BalanceGeneralInsertar] @Nivel ='Auxiliar',@Transaccional ='Sí',@CodigoCuentaContable ='14350130', @NombreCuentaContable ='APLICADOR LARGE EMSCULPT NEO',@Identificacion ='900397663',@Sucursal ='',@NombreTercero ='BTL COLOMBIA SAS',@SaldoInicial = 30000000,@MovimientoDebito = 0,@MovimientoCredito =0,@SaldoFinal = 0,@Fecha ='20240630',@IdentificacionCliente = '901434038';</v>
      </c>
      <c r="AB246" t="s">
        <v>1085</v>
      </c>
    </row>
    <row r="247" spans="1:28" x14ac:dyDescent="0.25">
      <c r="A247" s="2" t="s">
        <v>28</v>
      </c>
      <c r="B247" s="2" t="s">
        <v>29</v>
      </c>
      <c r="C247" s="2" t="s">
        <v>281</v>
      </c>
      <c r="D247" s="2" t="s">
        <v>282</v>
      </c>
      <c r="E247" s="2" t="s">
        <v>99</v>
      </c>
      <c r="F247" s="2"/>
      <c r="G247" s="2" t="s">
        <v>100</v>
      </c>
      <c r="H247" s="3">
        <v>18000000</v>
      </c>
      <c r="I247" s="3">
        <v>0</v>
      </c>
      <c r="J247" s="3">
        <v>0</v>
      </c>
      <c r="K247" s="3">
        <v>18000000</v>
      </c>
      <c r="L247" t="s">
        <v>1071</v>
      </c>
      <c r="M247" t="s">
        <v>1072</v>
      </c>
      <c r="N247" t="s">
        <v>1073</v>
      </c>
      <c r="O247" t="s">
        <v>1074</v>
      </c>
      <c r="P247" t="s">
        <v>1075</v>
      </c>
      <c r="Q247" t="s">
        <v>1076</v>
      </c>
      <c r="R247" t="s">
        <v>1077</v>
      </c>
      <c r="S247" t="s">
        <v>1078</v>
      </c>
      <c r="T247" t="s">
        <v>1079</v>
      </c>
      <c r="U247" t="s">
        <v>1080</v>
      </c>
      <c r="V247" t="s">
        <v>1081</v>
      </c>
      <c r="W247" t="s">
        <v>1082</v>
      </c>
      <c r="X247">
        <v>20240630</v>
      </c>
      <c r="Y247" t="s">
        <v>1083</v>
      </c>
      <c r="Z247" t="s">
        <v>1084</v>
      </c>
      <c r="AA247" s="11" t="str">
        <f t="shared" si="3"/>
        <v>EXEC [dbo].[BalanceGeneralInsertar] @Nivel ='Auxiliar',@Transaccional ='Sí',@CodigoCuentaContable ='14350131', @NombreCuentaContable ='BTL 6000 LYMPHASTIM 12 TOPLINE',@Identificacion ='900397663',@Sucursal ='',@NombreTercero ='BTL COLOMBIA SAS',@SaldoInicial = 18000000,@MovimientoDebito = 0,@MovimientoCredito =0,@SaldoFinal = 0,@Fecha ='20240630',@IdentificacionCliente = '901434038';</v>
      </c>
      <c r="AB247" t="s">
        <v>1085</v>
      </c>
    </row>
    <row r="248" spans="1:28" x14ac:dyDescent="0.25">
      <c r="A248" s="2" t="s">
        <v>28</v>
      </c>
      <c r="B248" s="2" t="s">
        <v>29</v>
      </c>
      <c r="C248" s="2" t="s">
        <v>283</v>
      </c>
      <c r="D248" s="2" t="s">
        <v>284</v>
      </c>
      <c r="E248" s="2" t="s">
        <v>99</v>
      </c>
      <c r="F248" s="2"/>
      <c r="G248" s="2" t="s">
        <v>100</v>
      </c>
      <c r="H248" s="3">
        <v>1385000</v>
      </c>
      <c r="I248" s="3">
        <v>0</v>
      </c>
      <c r="J248" s="3">
        <v>0</v>
      </c>
      <c r="K248" s="3">
        <v>1385000</v>
      </c>
      <c r="L248" t="s">
        <v>1071</v>
      </c>
      <c r="M248" t="s">
        <v>1072</v>
      </c>
      <c r="N248" t="s">
        <v>1073</v>
      </c>
      <c r="O248" t="s">
        <v>1074</v>
      </c>
      <c r="P248" t="s">
        <v>1075</v>
      </c>
      <c r="Q248" t="s">
        <v>1076</v>
      </c>
      <c r="R248" t="s">
        <v>1077</v>
      </c>
      <c r="S248" t="s">
        <v>1078</v>
      </c>
      <c r="T248" t="s">
        <v>1079</v>
      </c>
      <c r="U248" t="s">
        <v>1080</v>
      </c>
      <c r="V248" t="s">
        <v>1081</v>
      </c>
      <c r="W248" t="s">
        <v>1082</v>
      </c>
      <c r="X248">
        <v>20240630</v>
      </c>
      <c r="Y248" t="s">
        <v>1083</v>
      </c>
      <c r="Z248" t="s">
        <v>1084</v>
      </c>
      <c r="AA248" s="11" t="str">
        <f t="shared" si="3"/>
        <v>EXEC [dbo].[BalanceGeneralInsertar] @Nivel ='Auxiliar',@Transaccional ='Sí',@CodigoCuentaContable ='14350132', @NombreCuentaContable ='PANTALON DE 24 CAMARAS GRIS',@Identificacion ='900397663',@Sucursal ='',@NombreTercero ='BTL COLOMBIA SAS',@SaldoInicial = 1385000,@MovimientoDebito = 0,@MovimientoCredito =0,@SaldoFinal = 0,@Fecha ='20240630',@IdentificacionCliente = '901434038';</v>
      </c>
      <c r="AB248" t="s">
        <v>1085</v>
      </c>
    </row>
    <row r="249" spans="1:28" x14ac:dyDescent="0.25">
      <c r="A249" s="2" t="s">
        <v>28</v>
      </c>
      <c r="B249" s="2" t="s">
        <v>29</v>
      </c>
      <c r="C249" s="2" t="s">
        <v>285</v>
      </c>
      <c r="D249" s="2" t="s">
        <v>286</v>
      </c>
      <c r="E249" s="2" t="s">
        <v>99</v>
      </c>
      <c r="F249" s="2"/>
      <c r="G249" s="2" t="s">
        <v>100</v>
      </c>
      <c r="H249" s="3">
        <v>1500000</v>
      </c>
      <c r="I249" s="3">
        <v>0</v>
      </c>
      <c r="J249" s="3">
        <v>0</v>
      </c>
      <c r="K249" s="3">
        <v>1500000</v>
      </c>
      <c r="L249" t="s">
        <v>1071</v>
      </c>
      <c r="M249" t="s">
        <v>1072</v>
      </c>
      <c r="N249" t="s">
        <v>1073</v>
      </c>
      <c r="O249" t="s">
        <v>1074</v>
      </c>
      <c r="P249" t="s">
        <v>1075</v>
      </c>
      <c r="Q249" t="s">
        <v>1076</v>
      </c>
      <c r="R249" t="s">
        <v>1077</v>
      </c>
      <c r="S249" t="s">
        <v>1078</v>
      </c>
      <c r="T249" t="s">
        <v>1079</v>
      </c>
      <c r="U249" t="s">
        <v>1080</v>
      </c>
      <c r="V249" t="s">
        <v>1081</v>
      </c>
      <c r="W249" t="s">
        <v>1082</v>
      </c>
      <c r="X249">
        <v>20240630</v>
      </c>
      <c r="Y249" t="s">
        <v>1083</v>
      </c>
      <c r="Z249" t="s">
        <v>1084</v>
      </c>
      <c r="AA249" s="11" t="str">
        <f t="shared" si="3"/>
        <v>EXEC [dbo].[BalanceGeneralInsertar] @Nivel ='Auxiliar',@Transaccional ='Sí',@CodigoCuentaContable ='14350133', @NombreCuentaContable ='CARRO TRANSPORTE PARA BTL 5000/6000',@Identificacion ='900397663',@Sucursal ='',@NombreTercero ='BTL COLOMBIA SAS',@SaldoInicial = 1500000,@MovimientoDebito = 0,@MovimientoCredito =0,@SaldoFinal = 0,@Fecha ='20240630',@IdentificacionCliente = '901434038';</v>
      </c>
      <c r="AB249" t="s">
        <v>1085</v>
      </c>
    </row>
    <row r="250" spans="1:28" x14ac:dyDescent="0.25">
      <c r="A250" s="2" t="s">
        <v>28</v>
      </c>
      <c r="B250" s="2" t="s">
        <v>29</v>
      </c>
      <c r="C250" s="2" t="s">
        <v>287</v>
      </c>
      <c r="D250" s="2" t="s">
        <v>288</v>
      </c>
      <c r="E250" s="2" t="s">
        <v>223</v>
      </c>
      <c r="F250" s="2"/>
      <c r="G250" s="2" t="s">
        <v>224</v>
      </c>
      <c r="H250" s="3">
        <v>-7141119</v>
      </c>
      <c r="I250" s="3">
        <v>0</v>
      </c>
      <c r="J250" s="3">
        <v>0</v>
      </c>
      <c r="K250" s="3">
        <v>-7141119</v>
      </c>
      <c r="L250" t="s">
        <v>1071</v>
      </c>
      <c r="M250" t="s">
        <v>1072</v>
      </c>
      <c r="N250" t="s">
        <v>1073</v>
      </c>
      <c r="O250" t="s">
        <v>1074</v>
      </c>
      <c r="P250" t="s">
        <v>1075</v>
      </c>
      <c r="Q250" t="s">
        <v>1076</v>
      </c>
      <c r="R250" t="s">
        <v>1077</v>
      </c>
      <c r="S250" t="s">
        <v>1078</v>
      </c>
      <c r="T250" t="s">
        <v>1079</v>
      </c>
      <c r="U250" t="s">
        <v>1080</v>
      </c>
      <c r="V250" t="s">
        <v>1081</v>
      </c>
      <c r="W250" t="s">
        <v>1082</v>
      </c>
      <c r="X250">
        <v>20240630</v>
      </c>
      <c r="Y250" t="s">
        <v>1083</v>
      </c>
      <c r="Z250" t="s">
        <v>1084</v>
      </c>
      <c r="AA250" s="11" t="str">
        <f t="shared" si="3"/>
        <v>EXEC [dbo].[BalanceGeneralInsertar] @Nivel ='Auxiliar',@Transaccional ='Sí',@CodigoCuentaContable ='14350134', @NombreCuentaContable ='Equipo exilis serial 71500B002214-CEO',@Identificacion ='901434038',@Sucursal ='',@NombreTercero ='DAXA QUALITY SAS',@SaldoInicial = -7141119,@MovimientoDebito = 0,@MovimientoCredito =0,@SaldoFinal = 0,@Fecha ='20240630',@IdentificacionCliente = '901434038';</v>
      </c>
      <c r="AB250" t="s">
        <v>1085</v>
      </c>
    </row>
    <row r="251" spans="1:28" x14ac:dyDescent="0.25">
      <c r="A251" s="2" t="s">
        <v>28</v>
      </c>
      <c r="B251" s="2" t="s">
        <v>29</v>
      </c>
      <c r="C251" s="2" t="s">
        <v>287</v>
      </c>
      <c r="D251" s="2" t="s">
        <v>288</v>
      </c>
      <c r="E251" s="2" t="s">
        <v>103</v>
      </c>
      <c r="F251" s="2"/>
      <c r="G251" s="2" t="s">
        <v>104</v>
      </c>
      <c r="H251" s="3">
        <v>111823464</v>
      </c>
      <c r="I251" s="3">
        <v>0</v>
      </c>
      <c r="J251" s="3">
        <v>0</v>
      </c>
      <c r="K251" s="3">
        <v>111823464</v>
      </c>
      <c r="L251" t="s">
        <v>1071</v>
      </c>
      <c r="M251" t="s">
        <v>1072</v>
      </c>
      <c r="N251" t="s">
        <v>1073</v>
      </c>
      <c r="O251" t="s">
        <v>1074</v>
      </c>
      <c r="P251" t="s">
        <v>1075</v>
      </c>
      <c r="Q251" t="s">
        <v>1076</v>
      </c>
      <c r="R251" t="s">
        <v>1077</v>
      </c>
      <c r="S251" t="s">
        <v>1078</v>
      </c>
      <c r="T251" t="s">
        <v>1079</v>
      </c>
      <c r="U251" t="s">
        <v>1080</v>
      </c>
      <c r="V251" t="s">
        <v>1081</v>
      </c>
      <c r="W251" t="s">
        <v>1082</v>
      </c>
      <c r="X251">
        <v>20240630</v>
      </c>
      <c r="Y251" t="s">
        <v>1083</v>
      </c>
      <c r="Z251" t="s">
        <v>1084</v>
      </c>
      <c r="AA251" s="11" t="str">
        <f t="shared" si="3"/>
        <v>EXEC [dbo].[BalanceGeneralInsertar] @Nivel ='Auxiliar',@Transaccional ='Sí',@CodigoCuentaContable ='14350134', @NombreCuentaContable ='Equipo exilis serial 71500B002214-CEO',@Identificacion ='900297847',@Sucursal ='',@NombreTercero ='CENTRO CONTRA EFECTOS DE LA EDAD S.A.S',@SaldoInicial = 111823464,@MovimientoDebito = 0,@MovimientoCredito =0,@SaldoFinal = 0,@Fecha ='20240630',@IdentificacionCliente = '901434038';</v>
      </c>
      <c r="AB251" t="s">
        <v>1085</v>
      </c>
    </row>
    <row r="252" spans="1:28" x14ac:dyDescent="0.25">
      <c r="A252" s="2" t="s">
        <v>28</v>
      </c>
      <c r="B252" s="2" t="s">
        <v>29</v>
      </c>
      <c r="C252" s="2" t="s">
        <v>289</v>
      </c>
      <c r="D252" s="2" t="s">
        <v>290</v>
      </c>
      <c r="E252" s="2" t="s">
        <v>223</v>
      </c>
      <c r="F252" s="2"/>
      <c r="G252" s="2" t="s">
        <v>224</v>
      </c>
      <c r="H252" s="3" t="s">
        <v>853</v>
      </c>
      <c r="I252" s="3">
        <v>0</v>
      </c>
      <c r="J252" s="3">
        <v>7003511</v>
      </c>
      <c r="K252" s="3" t="s">
        <v>854</v>
      </c>
      <c r="L252" t="s">
        <v>1071</v>
      </c>
      <c r="M252" t="s">
        <v>1072</v>
      </c>
      <c r="N252" t="s">
        <v>1073</v>
      </c>
      <c r="O252" t="s">
        <v>1074</v>
      </c>
      <c r="P252" t="s">
        <v>1075</v>
      </c>
      <c r="Q252" t="s">
        <v>1076</v>
      </c>
      <c r="R252" t="s">
        <v>1077</v>
      </c>
      <c r="S252" t="s">
        <v>1078</v>
      </c>
      <c r="T252" t="s">
        <v>1079</v>
      </c>
      <c r="U252" t="s">
        <v>1080</v>
      </c>
      <c r="V252" t="s">
        <v>1081</v>
      </c>
      <c r="W252" t="s">
        <v>1082</v>
      </c>
      <c r="X252">
        <v>20240630</v>
      </c>
      <c r="Y252" t="s">
        <v>1083</v>
      </c>
      <c r="Z252" t="s">
        <v>1084</v>
      </c>
      <c r="AA252" s="11" t="str">
        <f t="shared" si="3"/>
        <v>EXEC [dbo].[BalanceGeneralInsertar] @Nivel ='Auxiliar',@Transaccional ='Sí',@CodigoCuentaContable ='14350135', @NombreCuentaContable ='LASER FRACCIONADO GALAXI EUROESTETIC',@Identificacion ='901434038',@Sucursal ='',@NombreTercero ='DAXA QUALITY SAS',@SaldoInicial = -53872312.22,@MovimientoDebito = 0,@MovimientoCredito =7003511,@SaldoFinal = 7003511,@Fecha ='20240630',@IdentificacionCliente = '901434038';</v>
      </c>
      <c r="AB252" t="s">
        <v>1085</v>
      </c>
    </row>
    <row r="253" spans="1:28" x14ac:dyDescent="0.25">
      <c r="A253" s="2" t="s">
        <v>28</v>
      </c>
      <c r="B253" s="2" t="s">
        <v>29</v>
      </c>
      <c r="C253" s="2" t="s">
        <v>289</v>
      </c>
      <c r="D253" s="2" t="s">
        <v>290</v>
      </c>
      <c r="E253" s="2" t="s">
        <v>69</v>
      </c>
      <c r="F253" s="2"/>
      <c r="G253" s="2" t="s">
        <v>70</v>
      </c>
      <c r="H253" s="3">
        <v>85714286</v>
      </c>
      <c r="I253" s="3">
        <v>0</v>
      </c>
      <c r="J253" s="3">
        <v>0</v>
      </c>
      <c r="K253" s="3">
        <v>85714286</v>
      </c>
      <c r="L253" t="s">
        <v>1071</v>
      </c>
      <c r="M253" t="s">
        <v>1072</v>
      </c>
      <c r="N253" t="s">
        <v>1073</v>
      </c>
      <c r="O253" t="s">
        <v>1074</v>
      </c>
      <c r="P253" t="s">
        <v>1075</v>
      </c>
      <c r="Q253" t="s">
        <v>1076</v>
      </c>
      <c r="R253" t="s">
        <v>1077</v>
      </c>
      <c r="S253" t="s">
        <v>1078</v>
      </c>
      <c r="T253" t="s">
        <v>1079</v>
      </c>
      <c r="U253" t="s">
        <v>1080</v>
      </c>
      <c r="V253" t="s">
        <v>1081</v>
      </c>
      <c r="W253" t="s">
        <v>1082</v>
      </c>
      <c r="X253">
        <v>20240630</v>
      </c>
      <c r="Y253" t="s">
        <v>1083</v>
      </c>
      <c r="Z253" t="s">
        <v>1084</v>
      </c>
      <c r="AA253" s="11" t="str">
        <f t="shared" si="3"/>
        <v>EXEC [dbo].[BalanceGeneralInsertar] @Nivel ='Auxiliar',@Transaccional ='Sí',@CodigoCuentaContable ='14350135', @NombreCuentaContable ='LASER FRACCIONADO GALAXI EUROESTETIC',@Identificacion ='900379427',@Sucursal ='',@NombreTercero ='INVERSIONES LAC SAS',@SaldoInicial = 85714286,@MovimientoDebito = 0,@MovimientoCredito =0,@SaldoFinal = 0,@Fecha ='20240630',@IdentificacionCliente = '901434038';</v>
      </c>
      <c r="AB253" t="s">
        <v>1085</v>
      </c>
    </row>
    <row r="254" spans="1:28" x14ac:dyDescent="0.25">
      <c r="A254" s="2" t="s">
        <v>28</v>
      </c>
      <c r="B254" s="2" t="s">
        <v>29</v>
      </c>
      <c r="C254" s="2" t="s">
        <v>291</v>
      </c>
      <c r="D254" s="2" t="s">
        <v>292</v>
      </c>
      <c r="E254" s="2" t="s">
        <v>223</v>
      </c>
      <c r="F254" s="2"/>
      <c r="G254" s="2" t="s">
        <v>224</v>
      </c>
      <c r="H254" s="3">
        <v>-22029326</v>
      </c>
      <c r="I254" s="3">
        <v>0</v>
      </c>
      <c r="J254" s="3">
        <v>2199875</v>
      </c>
      <c r="K254" s="3">
        <v>-24229201</v>
      </c>
      <c r="L254" t="s">
        <v>1071</v>
      </c>
      <c r="M254" t="s">
        <v>1072</v>
      </c>
      <c r="N254" t="s">
        <v>1073</v>
      </c>
      <c r="O254" t="s">
        <v>1074</v>
      </c>
      <c r="P254" t="s">
        <v>1075</v>
      </c>
      <c r="Q254" t="s">
        <v>1076</v>
      </c>
      <c r="R254" t="s">
        <v>1077</v>
      </c>
      <c r="S254" t="s">
        <v>1078</v>
      </c>
      <c r="T254" t="s">
        <v>1079</v>
      </c>
      <c r="U254" t="s">
        <v>1080</v>
      </c>
      <c r="V254" t="s">
        <v>1081</v>
      </c>
      <c r="W254" t="s">
        <v>1082</v>
      </c>
      <c r="X254">
        <v>20240630</v>
      </c>
      <c r="Y254" t="s">
        <v>1083</v>
      </c>
      <c r="Z254" t="s">
        <v>1084</v>
      </c>
      <c r="AA254" s="11" t="str">
        <f t="shared" si="3"/>
        <v>EXEC [dbo].[BalanceGeneralInsertar] @Nivel ='Auxiliar',@Transaccional ='Sí',@CodigoCuentaContable ='14350136', @NombreCuentaContable ='Equipo exilis serial 715B01470-Sabana-CEO',@Identificacion ='901434038',@Sucursal ='',@NombreTercero ='DAXA QUALITY SAS',@SaldoInicial = -22029326,@MovimientoDebito = 0,@MovimientoCredito =2199875,@SaldoFinal = 2199875,@Fecha ='20240630',@IdentificacionCliente = '901434038';</v>
      </c>
      <c r="AB254" t="s">
        <v>1085</v>
      </c>
    </row>
    <row r="255" spans="1:28" x14ac:dyDescent="0.25">
      <c r="A255" s="2" t="s">
        <v>28</v>
      </c>
      <c r="B255" s="2" t="s">
        <v>29</v>
      </c>
      <c r="C255" s="2" t="s">
        <v>291</v>
      </c>
      <c r="D255" s="2" t="s">
        <v>292</v>
      </c>
      <c r="E255" s="2" t="s">
        <v>99</v>
      </c>
      <c r="F255" s="2"/>
      <c r="G255" s="2" t="s">
        <v>100</v>
      </c>
      <c r="H255" s="3">
        <v>9300000</v>
      </c>
      <c r="I255" s="3">
        <v>0</v>
      </c>
      <c r="J255" s="3">
        <v>0</v>
      </c>
      <c r="K255" s="3">
        <v>9300000</v>
      </c>
      <c r="L255" t="s">
        <v>1071</v>
      </c>
      <c r="M255" t="s">
        <v>1072</v>
      </c>
      <c r="N255" t="s">
        <v>1073</v>
      </c>
      <c r="O255" t="s">
        <v>1074</v>
      </c>
      <c r="P255" t="s">
        <v>1075</v>
      </c>
      <c r="Q255" t="s">
        <v>1076</v>
      </c>
      <c r="R255" t="s">
        <v>1077</v>
      </c>
      <c r="S255" t="s">
        <v>1078</v>
      </c>
      <c r="T255" t="s">
        <v>1079</v>
      </c>
      <c r="U255" t="s">
        <v>1080</v>
      </c>
      <c r="V255" t="s">
        <v>1081</v>
      </c>
      <c r="W255" t="s">
        <v>1082</v>
      </c>
      <c r="X255">
        <v>20240630</v>
      </c>
      <c r="Y255" t="s">
        <v>1083</v>
      </c>
      <c r="Z255" t="s">
        <v>1084</v>
      </c>
      <c r="AA255" s="11" t="str">
        <f t="shared" si="3"/>
        <v>EXEC [dbo].[BalanceGeneralInsertar] @Nivel ='Auxiliar',@Transaccional ='Sí',@CodigoCuentaContable ='14350136', @NombreCuentaContable ='Equipo exilis serial 715B01470-Sabana-CEO',@Identificacion ='900397663',@Sucursal ='',@NombreTercero ='BTL COLOMBIA SAS',@SaldoInicial = 9300000,@MovimientoDebito = 0,@MovimientoCredito =0,@SaldoFinal = 0,@Fecha ='20240630',@IdentificacionCliente = '901434038';</v>
      </c>
      <c r="AB255" t="s">
        <v>1085</v>
      </c>
    </row>
    <row r="256" spans="1:28" x14ac:dyDescent="0.25">
      <c r="A256" s="2" t="s">
        <v>28</v>
      </c>
      <c r="B256" s="2" t="s">
        <v>29</v>
      </c>
      <c r="C256" s="2" t="s">
        <v>293</v>
      </c>
      <c r="D256" s="2" t="s">
        <v>294</v>
      </c>
      <c r="E256" s="2" t="s">
        <v>223</v>
      </c>
      <c r="F256" s="2"/>
      <c r="G256" s="2" t="s">
        <v>224</v>
      </c>
      <c r="H256" s="3">
        <v>-33698010</v>
      </c>
      <c r="I256" s="3">
        <v>0</v>
      </c>
      <c r="J256" s="3">
        <v>1553855</v>
      </c>
      <c r="K256" s="3">
        <v>-35251865</v>
      </c>
      <c r="L256" t="s">
        <v>1071</v>
      </c>
      <c r="M256" t="s">
        <v>1072</v>
      </c>
      <c r="N256" t="s">
        <v>1073</v>
      </c>
      <c r="O256" t="s">
        <v>1074</v>
      </c>
      <c r="P256" t="s">
        <v>1075</v>
      </c>
      <c r="Q256" t="s">
        <v>1076</v>
      </c>
      <c r="R256" t="s">
        <v>1077</v>
      </c>
      <c r="S256" t="s">
        <v>1078</v>
      </c>
      <c r="T256" t="s">
        <v>1079</v>
      </c>
      <c r="U256" t="s">
        <v>1080</v>
      </c>
      <c r="V256" t="s">
        <v>1081</v>
      </c>
      <c r="W256" t="s">
        <v>1082</v>
      </c>
      <c r="X256">
        <v>20240630</v>
      </c>
      <c r="Y256" t="s">
        <v>1083</v>
      </c>
      <c r="Z256" t="s">
        <v>1084</v>
      </c>
      <c r="AA256" s="11" t="str">
        <f t="shared" si="3"/>
        <v>EXEC [dbo].[BalanceGeneralInsertar] @Nivel ='Auxiliar',@Transaccional ='Sí',@CodigoCuentaContable ='14350138', @NombreCuentaContable ='Exilis System Serial: 715--B-01701 ',@Identificacion ='901434038',@Sucursal ='',@NombreTercero ='DAXA QUALITY SAS',@SaldoInicial = -33698010,@MovimientoDebito = 0,@MovimientoCredito =1553855,@SaldoFinal = 1553855,@Fecha ='20240630',@IdentificacionCliente = '901434038';</v>
      </c>
      <c r="AB256" t="s">
        <v>1085</v>
      </c>
    </row>
    <row r="257" spans="1:28" x14ac:dyDescent="0.25">
      <c r="A257" s="2" t="s">
        <v>28</v>
      </c>
      <c r="B257" s="2" t="s">
        <v>29</v>
      </c>
      <c r="C257" s="2" t="s">
        <v>293</v>
      </c>
      <c r="D257" s="2" t="s">
        <v>294</v>
      </c>
      <c r="E257" s="2" t="s">
        <v>53</v>
      </c>
      <c r="F257" s="2"/>
      <c r="G257" s="2" t="s">
        <v>54</v>
      </c>
      <c r="H257" s="3">
        <v>31500000</v>
      </c>
      <c r="I257" s="3">
        <v>0</v>
      </c>
      <c r="J257" s="3">
        <v>0</v>
      </c>
      <c r="K257" s="3">
        <v>31500000</v>
      </c>
      <c r="L257" t="s">
        <v>1071</v>
      </c>
      <c r="M257" t="s">
        <v>1072</v>
      </c>
      <c r="N257" t="s">
        <v>1073</v>
      </c>
      <c r="O257" t="s">
        <v>1074</v>
      </c>
      <c r="P257" t="s">
        <v>1075</v>
      </c>
      <c r="Q257" t="s">
        <v>1076</v>
      </c>
      <c r="R257" t="s">
        <v>1077</v>
      </c>
      <c r="S257" t="s">
        <v>1078</v>
      </c>
      <c r="T257" t="s">
        <v>1079</v>
      </c>
      <c r="U257" t="s">
        <v>1080</v>
      </c>
      <c r="V257" t="s">
        <v>1081</v>
      </c>
      <c r="W257" t="s">
        <v>1082</v>
      </c>
      <c r="X257">
        <v>20240630</v>
      </c>
      <c r="Y257" t="s">
        <v>1083</v>
      </c>
      <c r="Z257" t="s">
        <v>1084</v>
      </c>
      <c r="AA257" s="11" t="str">
        <f t="shared" si="3"/>
        <v>EXEC [dbo].[BalanceGeneralInsertar] @Nivel ='Auxiliar',@Transaccional ='Sí',@CodigoCuentaContable ='14350138', @NombreCuentaContable ='Exilis System Serial: 715--B-01701 ',@Identificacion ='901115633',@Sucursal ='',@NombreTercero ='CAROLINA MARTINEZ SAS',@SaldoInicial = 31500000,@MovimientoDebito = 0,@MovimientoCredito =0,@SaldoFinal = 0,@Fecha ='20240630',@IdentificacionCliente = '901434038';</v>
      </c>
      <c r="AB257" t="s">
        <v>1085</v>
      </c>
    </row>
    <row r="258" spans="1:28" x14ac:dyDescent="0.25">
      <c r="A258" s="2" t="s">
        <v>28</v>
      </c>
      <c r="B258" s="2" t="s">
        <v>29</v>
      </c>
      <c r="C258" s="2" t="s">
        <v>295</v>
      </c>
      <c r="D258" s="2" t="s">
        <v>296</v>
      </c>
      <c r="E258" s="2" t="s">
        <v>223</v>
      </c>
      <c r="F258" s="2"/>
      <c r="G258" s="2" t="s">
        <v>224</v>
      </c>
      <c r="H258" s="3">
        <v>-4900000</v>
      </c>
      <c r="I258" s="3">
        <v>0</v>
      </c>
      <c r="J258" s="3">
        <v>0</v>
      </c>
      <c r="K258" s="3">
        <v>-4900000</v>
      </c>
      <c r="L258" t="s">
        <v>1071</v>
      </c>
      <c r="M258" t="s">
        <v>1072</v>
      </c>
      <c r="N258" t="s">
        <v>1073</v>
      </c>
      <c r="O258" t="s">
        <v>1074</v>
      </c>
      <c r="P258" t="s">
        <v>1075</v>
      </c>
      <c r="Q258" t="s">
        <v>1076</v>
      </c>
      <c r="R258" t="s">
        <v>1077</v>
      </c>
      <c r="S258" t="s">
        <v>1078</v>
      </c>
      <c r="T258" t="s">
        <v>1079</v>
      </c>
      <c r="U258" t="s">
        <v>1080</v>
      </c>
      <c r="V258" t="s">
        <v>1081</v>
      </c>
      <c r="W258" t="s">
        <v>1082</v>
      </c>
      <c r="X258">
        <v>20240630</v>
      </c>
      <c r="Y258" t="s">
        <v>1083</v>
      </c>
      <c r="Z258" t="s">
        <v>1084</v>
      </c>
      <c r="AA258" s="11" t="str">
        <f t="shared" si="3"/>
        <v>EXEC [dbo].[BalanceGeneralInsertar] @Nivel ='Auxiliar',@Transaccional ='Sí',@CodigoCuentaContable ='14350139', @NombreCuentaContable ='KIT DE REPUESTOS EMTONE',@Identificacion ='901434038',@Sucursal ='',@NombreTercero ='DAXA QUALITY SAS',@SaldoInicial = -4900000,@MovimientoDebito = 0,@MovimientoCredito =0,@SaldoFinal = 0,@Fecha ='20240630',@IdentificacionCliente = '901434038';</v>
      </c>
      <c r="AB258" t="s">
        <v>1085</v>
      </c>
    </row>
    <row r="259" spans="1:28" x14ac:dyDescent="0.25">
      <c r="A259" s="2" t="s">
        <v>28</v>
      </c>
      <c r="B259" s="2" t="s">
        <v>29</v>
      </c>
      <c r="C259" s="2" t="s">
        <v>295</v>
      </c>
      <c r="D259" s="2" t="s">
        <v>296</v>
      </c>
      <c r="E259" s="2" t="s">
        <v>99</v>
      </c>
      <c r="F259" s="2"/>
      <c r="G259" s="2" t="s">
        <v>100</v>
      </c>
      <c r="H259" s="3">
        <v>2500000</v>
      </c>
      <c r="I259" s="3">
        <v>4800000</v>
      </c>
      <c r="J259" s="3">
        <v>0</v>
      </c>
      <c r="K259" s="3">
        <v>7300000</v>
      </c>
      <c r="L259" t="s">
        <v>1071</v>
      </c>
      <c r="M259" t="s">
        <v>1072</v>
      </c>
      <c r="N259" t="s">
        <v>1073</v>
      </c>
      <c r="O259" t="s">
        <v>1074</v>
      </c>
      <c r="P259" t="s">
        <v>1075</v>
      </c>
      <c r="Q259" t="s">
        <v>1076</v>
      </c>
      <c r="R259" t="s">
        <v>1077</v>
      </c>
      <c r="S259" t="s">
        <v>1078</v>
      </c>
      <c r="T259" t="s">
        <v>1079</v>
      </c>
      <c r="U259" t="s">
        <v>1080</v>
      </c>
      <c r="V259" t="s">
        <v>1081</v>
      </c>
      <c r="W259" t="s">
        <v>1082</v>
      </c>
      <c r="X259">
        <v>20240630</v>
      </c>
      <c r="Y259" t="s">
        <v>1083</v>
      </c>
      <c r="Z259" t="s">
        <v>1084</v>
      </c>
      <c r="AA259" s="11" t="str">
        <f t="shared" si="3"/>
        <v>EXEC [dbo].[BalanceGeneralInsertar] @Nivel ='Auxiliar',@Transaccional ='Sí',@CodigoCuentaContable ='14350139', @NombreCuentaContable ='KIT DE REPUESTOS EMTONE',@Identificacion ='900397663',@Sucursal ='',@NombreTercero ='BTL COLOMBIA SAS',@SaldoInicial = 2500000,@MovimientoDebito = 4800000,@MovimientoCredito =0,@SaldoFinal = 0,@Fecha ='20240630',@IdentificacionCliente = '901434038';</v>
      </c>
      <c r="AB259" t="s">
        <v>1085</v>
      </c>
    </row>
    <row r="260" spans="1:28" x14ac:dyDescent="0.25">
      <c r="A260" s="2" t="s">
        <v>28</v>
      </c>
      <c r="B260" s="2" t="s">
        <v>29</v>
      </c>
      <c r="C260" s="2" t="s">
        <v>297</v>
      </c>
      <c r="D260" s="2" t="s">
        <v>298</v>
      </c>
      <c r="E260" s="2" t="s">
        <v>115</v>
      </c>
      <c r="F260" s="2"/>
      <c r="G260" s="2" t="s">
        <v>116</v>
      </c>
      <c r="H260" s="3">
        <v>113467087</v>
      </c>
      <c r="I260" s="3">
        <v>0</v>
      </c>
      <c r="J260" s="3">
        <v>0</v>
      </c>
      <c r="K260" s="3">
        <v>113467087</v>
      </c>
      <c r="L260" t="s">
        <v>1071</v>
      </c>
      <c r="M260" t="s">
        <v>1072</v>
      </c>
      <c r="N260" t="s">
        <v>1073</v>
      </c>
      <c r="O260" t="s">
        <v>1074</v>
      </c>
      <c r="P260" t="s">
        <v>1075</v>
      </c>
      <c r="Q260" t="s">
        <v>1076</v>
      </c>
      <c r="R260" t="s">
        <v>1077</v>
      </c>
      <c r="S260" t="s">
        <v>1078</v>
      </c>
      <c r="T260" t="s">
        <v>1079</v>
      </c>
      <c r="U260" t="s">
        <v>1080</v>
      </c>
      <c r="V260" t="s">
        <v>1081</v>
      </c>
      <c r="W260" t="s">
        <v>1082</v>
      </c>
      <c r="X260">
        <v>20240630</v>
      </c>
      <c r="Y260" t="s">
        <v>1083</v>
      </c>
      <c r="Z260" t="s">
        <v>1084</v>
      </c>
      <c r="AA260" s="11" t="str">
        <f t="shared" si="3"/>
        <v>EXEC [dbo].[BalanceGeneralInsertar] @Nivel ='Auxiliar',@Transaccional ='Sí',@CodigoCuentaContable ='14350140', @NombreCuentaContable ='BTL - Exilis Ultra 360 SN71500B004917',@Identificacion ='901093584',@Sucursal ='',@NombreTercero ='VITTI S A S',@SaldoInicial = 113467087,@MovimientoDebito = 0,@MovimientoCredito =0,@SaldoFinal = 0,@Fecha ='20240630',@IdentificacionCliente = '901434038';</v>
      </c>
      <c r="AB260" t="s">
        <v>1085</v>
      </c>
    </row>
    <row r="261" spans="1:28" x14ac:dyDescent="0.25">
      <c r="A261" s="2" t="s">
        <v>28</v>
      </c>
      <c r="B261" s="2" t="s">
        <v>29</v>
      </c>
      <c r="C261" s="2" t="s">
        <v>297</v>
      </c>
      <c r="D261" s="2" t="s">
        <v>298</v>
      </c>
      <c r="E261" s="2" t="s">
        <v>223</v>
      </c>
      <c r="F261" s="2"/>
      <c r="G261" s="2" t="s">
        <v>224</v>
      </c>
      <c r="H261" s="3">
        <v>-37883768</v>
      </c>
      <c r="I261" s="3">
        <v>0</v>
      </c>
      <c r="J261" s="3">
        <v>3934426</v>
      </c>
      <c r="K261" s="3">
        <v>-41818194</v>
      </c>
      <c r="L261" t="s">
        <v>1071</v>
      </c>
      <c r="M261" t="s">
        <v>1072</v>
      </c>
      <c r="N261" t="s">
        <v>1073</v>
      </c>
      <c r="O261" t="s">
        <v>1074</v>
      </c>
      <c r="P261" t="s">
        <v>1075</v>
      </c>
      <c r="Q261" t="s">
        <v>1076</v>
      </c>
      <c r="R261" t="s">
        <v>1077</v>
      </c>
      <c r="S261" t="s">
        <v>1078</v>
      </c>
      <c r="T261" t="s">
        <v>1079</v>
      </c>
      <c r="U261" t="s">
        <v>1080</v>
      </c>
      <c r="V261" t="s">
        <v>1081</v>
      </c>
      <c r="W261" t="s">
        <v>1082</v>
      </c>
      <c r="X261">
        <v>20240630</v>
      </c>
      <c r="Y261" t="s">
        <v>1083</v>
      </c>
      <c r="Z261" t="s">
        <v>1084</v>
      </c>
      <c r="AA261" s="11" t="str">
        <f t="shared" si="3"/>
        <v>EXEC [dbo].[BalanceGeneralInsertar] @Nivel ='Auxiliar',@Transaccional ='Sí',@CodigoCuentaContable ='14350140', @NombreCuentaContable ='BTL - Exilis Ultra 360 SN71500B004917',@Identificacion ='901434038',@Sucursal ='',@NombreTercero ='DAXA QUALITY SAS',@SaldoInicial = -37883768,@MovimientoDebito = 0,@MovimientoCredito =3934426,@SaldoFinal = 3934426,@Fecha ='20240630',@IdentificacionCliente = '901434038';</v>
      </c>
      <c r="AB261" t="s">
        <v>1085</v>
      </c>
    </row>
    <row r="262" spans="1:28" x14ac:dyDescent="0.25">
      <c r="A262" s="2" t="s">
        <v>28</v>
      </c>
      <c r="B262" s="2" t="s">
        <v>29</v>
      </c>
      <c r="C262" s="2" t="s">
        <v>299</v>
      </c>
      <c r="D262" s="2" t="s">
        <v>300</v>
      </c>
      <c r="E262" s="2" t="s">
        <v>69</v>
      </c>
      <c r="F262" s="2"/>
      <c r="G262" s="2" t="s">
        <v>70</v>
      </c>
      <c r="H262" s="3" t="s">
        <v>855</v>
      </c>
      <c r="I262" s="3">
        <v>0</v>
      </c>
      <c r="J262" s="3">
        <v>0</v>
      </c>
      <c r="K262" s="3" t="s">
        <v>855</v>
      </c>
      <c r="L262" t="s">
        <v>1071</v>
      </c>
      <c r="M262" t="s">
        <v>1072</v>
      </c>
      <c r="N262" t="s">
        <v>1073</v>
      </c>
      <c r="O262" t="s">
        <v>1074</v>
      </c>
      <c r="P262" t="s">
        <v>1075</v>
      </c>
      <c r="Q262" t="s">
        <v>1076</v>
      </c>
      <c r="R262" t="s">
        <v>1077</v>
      </c>
      <c r="S262" t="s">
        <v>1078</v>
      </c>
      <c r="T262" t="s">
        <v>1079</v>
      </c>
      <c r="U262" t="s">
        <v>1080</v>
      </c>
      <c r="V262" t="s">
        <v>1081</v>
      </c>
      <c r="W262" t="s">
        <v>1082</v>
      </c>
      <c r="X262">
        <v>20240630</v>
      </c>
      <c r="Y262" t="s">
        <v>1083</v>
      </c>
      <c r="Z262" t="s">
        <v>1084</v>
      </c>
      <c r="AA262" s="11" t="str">
        <f t="shared" si="3"/>
        <v>EXEC [dbo].[BalanceGeneralInsertar] @Nivel ='Auxiliar',@Transaccional ='Sí',@CodigoCuentaContable ='14350141', @NombreCuentaContable ='CELLEC V',@Identificacion ='900379427',@Sucursal ='',@NombreTercero ='INVERSIONES LAC SAS',@SaldoInicial = 94537815.13,@MovimientoDebito = 0,@MovimientoCredito =0,@SaldoFinal = 0,@Fecha ='20240630',@IdentificacionCliente = '901434038';</v>
      </c>
      <c r="AB262" t="s">
        <v>1085</v>
      </c>
    </row>
    <row r="263" spans="1:28" x14ac:dyDescent="0.25">
      <c r="A263" s="2" t="s">
        <v>28</v>
      </c>
      <c r="B263" s="2" t="s">
        <v>29</v>
      </c>
      <c r="C263" s="2" t="s">
        <v>301</v>
      </c>
      <c r="D263" s="2" t="s">
        <v>302</v>
      </c>
      <c r="E263" s="2" t="s">
        <v>223</v>
      </c>
      <c r="F263" s="2"/>
      <c r="G263" s="2" t="s">
        <v>224</v>
      </c>
      <c r="H263" s="3">
        <v>-1538725</v>
      </c>
      <c r="I263" s="3">
        <v>0</v>
      </c>
      <c r="J263" s="3">
        <v>1538725</v>
      </c>
      <c r="K263" s="3">
        <v>-3077450</v>
      </c>
      <c r="L263" t="s">
        <v>1071</v>
      </c>
      <c r="M263" t="s">
        <v>1072</v>
      </c>
      <c r="N263" t="s">
        <v>1073</v>
      </c>
      <c r="O263" t="s">
        <v>1074</v>
      </c>
      <c r="P263" t="s">
        <v>1075</v>
      </c>
      <c r="Q263" t="s">
        <v>1076</v>
      </c>
      <c r="R263" t="s">
        <v>1077</v>
      </c>
      <c r="S263" t="s">
        <v>1078</v>
      </c>
      <c r="T263" t="s">
        <v>1079</v>
      </c>
      <c r="U263" t="s">
        <v>1080</v>
      </c>
      <c r="V263" t="s">
        <v>1081</v>
      </c>
      <c r="W263" t="s">
        <v>1082</v>
      </c>
      <c r="X263">
        <v>20240630</v>
      </c>
      <c r="Y263" t="s">
        <v>1083</v>
      </c>
      <c r="Z263" t="s">
        <v>1084</v>
      </c>
      <c r="AA263" s="11" t="str">
        <f t="shared" si="3"/>
        <v>EXEC [dbo].[BalanceGeneralInsertar] @Nivel ='Auxiliar',@Transaccional ='Sí',@CodigoCuentaContable ='14350143', @NombreCuentaContable ='SILLA AUXILIAR (1023AB2)-MUEBLE ORGANIZADOR METALI',@Identificacion ='901434038',@Sucursal ='',@NombreTercero ='DAXA QUALITY SAS',@SaldoInicial = -1538725,@MovimientoDebito = 0,@MovimientoCredito =1538725,@SaldoFinal = 1538725,@Fecha ='20240630',@IdentificacionCliente = '901434038';</v>
      </c>
      <c r="AB263" t="s">
        <v>1085</v>
      </c>
    </row>
    <row r="264" spans="1:28" x14ac:dyDescent="0.25">
      <c r="A264" s="2" t="s">
        <v>28</v>
      </c>
      <c r="B264" s="2" t="s">
        <v>29</v>
      </c>
      <c r="C264" s="2" t="s">
        <v>301</v>
      </c>
      <c r="D264" s="2" t="s">
        <v>302</v>
      </c>
      <c r="E264" s="2" t="s">
        <v>135</v>
      </c>
      <c r="F264" s="2"/>
      <c r="G264" s="2" t="s">
        <v>136</v>
      </c>
      <c r="H264" s="3" t="s">
        <v>856</v>
      </c>
      <c r="I264" s="3">
        <v>0</v>
      </c>
      <c r="J264" s="3">
        <v>0</v>
      </c>
      <c r="K264" s="3" t="s">
        <v>856</v>
      </c>
      <c r="L264" t="s">
        <v>1071</v>
      </c>
      <c r="M264" t="s">
        <v>1072</v>
      </c>
      <c r="N264" t="s">
        <v>1073</v>
      </c>
      <c r="O264" t="s">
        <v>1074</v>
      </c>
      <c r="P264" t="s">
        <v>1075</v>
      </c>
      <c r="Q264" t="s">
        <v>1076</v>
      </c>
      <c r="R264" t="s">
        <v>1077</v>
      </c>
      <c r="S264" t="s">
        <v>1078</v>
      </c>
      <c r="T264" t="s">
        <v>1079</v>
      </c>
      <c r="U264" t="s">
        <v>1080</v>
      </c>
      <c r="V264" t="s">
        <v>1081</v>
      </c>
      <c r="W264" t="s">
        <v>1082</v>
      </c>
      <c r="X264">
        <v>20240630</v>
      </c>
      <c r="Y264" t="s">
        <v>1083</v>
      </c>
      <c r="Z264" t="s">
        <v>1084</v>
      </c>
      <c r="AA264" s="11" t="str">
        <f t="shared" si="3"/>
        <v>EXEC [dbo].[BalanceGeneralInsertar] @Nivel ='Auxiliar',@Transaccional ='Sí',@CodigoCuentaContable ='14350143', @NombreCuentaContable ='SILLA AUXILIAR (1023AB2)-MUEBLE ORGANIZADOR METALI',@Identificacion ='900222911',@Sucursal ='',@NombreTercero ='INSTRUMENTOS MÉDICOS DE COLOMBIA S.A.S',@SaldoInicial = 36929411.85,@MovimientoDebito = 0,@MovimientoCredito =0,@SaldoFinal = 0,@Fecha ='20240630',@IdentificacionCliente = '901434038';</v>
      </c>
      <c r="AB264" t="s">
        <v>1085</v>
      </c>
    </row>
    <row r="265" spans="1:28" x14ac:dyDescent="0.25">
      <c r="A265" s="2" t="s">
        <v>22</v>
      </c>
      <c r="B265" s="2" t="s">
        <v>16</v>
      </c>
      <c r="C265" s="2" t="s">
        <v>303</v>
      </c>
      <c r="D265" s="2" t="s">
        <v>212</v>
      </c>
      <c r="E265" s="2"/>
      <c r="F265" s="2"/>
      <c r="G265" s="2"/>
      <c r="H265" s="3">
        <v>0</v>
      </c>
      <c r="I265" s="3">
        <v>0</v>
      </c>
      <c r="J265" s="3">
        <v>0</v>
      </c>
      <c r="K265" s="3">
        <v>0</v>
      </c>
      <c r="L265" t="s">
        <v>1071</v>
      </c>
      <c r="M265" t="s">
        <v>1072</v>
      </c>
      <c r="N265" t="s">
        <v>1073</v>
      </c>
      <c r="O265" t="s">
        <v>1074</v>
      </c>
      <c r="P265" t="s">
        <v>1075</v>
      </c>
      <c r="Q265" t="s">
        <v>1076</v>
      </c>
      <c r="R265" t="s">
        <v>1077</v>
      </c>
      <c r="S265" t="s">
        <v>1078</v>
      </c>
      <c r="T265" t="s">
        <v>1079</v>
      </c>
      <c r="U265" t="s">
        <v>1080</v>
      </c>
      <c r="V265" t="s">
        <v>1081</v>
      </c>
      <c r="W265" t="s">
        <v>1082</v>
      </c>
      <c r="X265">
        <v>20240630</v>
      </c>
      <c r="Y265" t="s">
        <v>1083</v>
      </c>
      <c r="Z265" t="s">
        <v>1084</v>
      </c>
      <c r="AA265" s="11" t="str">
        <f t="shared" si="3"/>
        <v>EXEC [dbo].[BalanceGeneralInsertar] @Nivel ='Cuenta',@Transaccional ='No',@CodigoCuentaContable ='1498', @NombreCuentaContable ='Otros',@Identificacion ='',@Sucursal ='',@NombreTercero ='',@SaldoInicial = 0,@MovimientoDebito = 0,@MovimientoCredito =0,@SaldoFinal = 0,@Fecha ='20240630',@IdentificacionCliente = '901434038';</v>
      </c>
      <c r="AB265" t="s">
        <v>1085</v>
      </c>
    </row>
    <row r="266" spans="1:28" x14ac:dyDescent="0.25">
      <c r="A266" s="2" t="s">
        <v>25</v>
      </c>
      <c r="B266" s="2" t="s">
        <v>16</v>
      </c>
      <c r="C266" s="2" t="s">
        <v>304</v>
      </c>
      <c r="D266" s="2" t="s">
        <v>212</v>
      </c>
      <c r="E266" s="2"/>
      <c r="F266" s="2"/>
      <c r="G266" s="2"/>
      <c r="H266" s="3">
        <v>0</v>
      </c>
      <c r="I266" s="3">
        <v>0</v>
      </c>
      <c r="J266" s="3">
        <v>0</v>
      </c>
      <c r="K266" s="3">
        <v>0</v>
      </c>
      <c r="L266" t="s">
        <v>1071</v>
      </c>
      <c r="M266" t="s">
        <v>1072</v>
      </c>
      <c r="N266" t="s">
        <v>1073</v>
      </c>
      <c r="O266" t="s">
        <v>1074</v>
      </c>
      <c r="P266" t="s">
        <v>1075</v>
      </c>
      <c r="Q266" t="s">
        <v>1076</v>
      </c>
      <c r="R266" t="s">
        <v>1077</v>
      </c>
      <c r="S266" t="s">
        <v>1078</v>
      </c>
      <c r="T266" t="s">
        <v>1079</v>
      </c>
      <c r="U266" t="s">
        <v>1080</v>
      </c>
      <c r="V266" t="s">
        <v>1081</v>
      </c>
      <c r="W266" t="s">
        <v>1082</v>
      </c>
      <c r="X266">
        <v>20240630</v>
      </c>
      <c r="Y266" t="s">
        <v>1083</v>
      </c>
      <c r="Z266" t="s">
        <v>1084</v>
      </c>
      <c r="AA266" s="11" t="str">
        <f t="shared" ref="AA266:AA329" si="4">_xlfn.CONCAT(L266,Y266,A266,Y266,Z266,M266,Y266,B266,Y266,Z266,N266,Y266,C266,Y266,Z266,AB266,Y266,D266,Y266,Z266,O266,Y266,E266,Y266,Z266,P266,Y266,F266,Y266,Z266,Q266,Y266,G266,Y266,Z266,R266,H266,Z266,S266,I266,Z266,T266,J266,Z266,U266,J266,Z266,V266,Y266,X266,Y266,Z266,W266,Y266,"901434038",Y266,";")</f>
        <v>EXEC [dbo].[BalanceGeneralInsertar] @Nivel ='Subcuenta',@Transaccional ='No',@CodigoCuentaContable ='149801', @NombreCuentaContable ='Otros',@Identificacion ='',@Sucursal ='',@NombreTercero ='',@SaldoInicial = 0,@MovimientoDebito = 0,@MovimientoCredito =0,@SaldoFinal = 0,@Fecha ='20240630',@IdentificacionCliente = '901434038';</v>
      </c>
      <c r="AB266" t="s">
        <v>1085</v>
      </c>
    </row>
    <row r="267" spans="1:28" x14ac:dyDescent="0.25">
      <c r="A267" s="2" t="s">
        <v>28</v>
      </c>
      <c r="B267" s="2" t="s">
        <v>29</v>
      </c>
      <c r="C267" s="2" t="s">
        <v>305</v>
      </c>
      <c r="D267" s="2" t="s">
        <v>212</v>
      </c>
      <c r="E267" s="2" t="s">
        <v>223</v>
      </c>
      <c r="F267" s="2"/>
      <c r="G267" s="2" t="s">
        <v>224</v>
      </c>
      <c r="H267" s="3">
        <v>-17400000</v>
      </c>
      <c r="I267" s="3">
        <v>0</v>
      </c>
      <c r="J267" s="3">
        <v>0</v>
      </c>
      <c r="K267" s="3">
        <v>-17400000</v>
      </c>
      <c r="L267" t="s">
        <v>1071</v>
      </c>
      <c r="M267" t="s">
        <v>1072</v>
      </c>
      <c r="N267" t="s">
        <v>1073</v>
      </c>
      <c r="O267" t="s">
        <v>1074</v>
      </c>
      <c r="P267" t="s">
        <v>1075</v>
      </c>
      <c r="Q267" t="s">
        <v>1076</v>
      </c>
      <c r="R267" t="s">
        <v>1077</v>
      </c>
      <c r="S267" t="s">
        <v>1078</v>
      </c>
      <c r="T267" t="s">
        <v>1079</v>
      </c>
      <c r="U267" t="s">
        <v>1080</v>
      </c>
      <c r="V267" t="s">
        <v>1081</v>
      </c>
      <c r="W267" t="s">
        <v>1082</v>
      </c>
      <c r="X267">
        <v>20240630</v>
      </c>
      <c r="Y267" t="s">
        <v>1083</v>
      </c>
      <c r="Z267" t="s">
        <v>1084</v>
      </c>
      <c r="AA267" s="11" t="str">
        <f t="shared" si="4"/>
        <v>EXEC [dbo].[BalanceGeneralInsertar] @Nivel ='Auxiliar',@Transaccional ='Sí',@CodigoCuentaContable ='14980101', @NombreCuentaContable ='Otros',@Identificacion ='901434038',@Sucursal ='',@NombreTercero ='DAXA QUALITY SAS',@SaldoInicial = -17400000,@MovimientoDebito = 0,@MovimientoCredito =0,@SaldoFinal = 0,@Fecha ='20240630',@IdentificacionCliente = '901434038';</v>
      </c>
      <c r="AB267" t="s">
        <v>1085</v>
      </c>
    </row>
    <row r="268" spans="1:28" x14ac:dyDescent="0.25">
      <c r="A268" s="2" t="s">
        <v>28</v>
      </c>
      <c r="B268" s="2" t="s">
        <v>29</v>
      </c>
      <c r="C268" s="2" t="s">
        <v>305</v>
      </c>
      <c r="D268" s="2" t="s">
        <v>212</v>
      </c>
      <c r="E268" s="2" t="s">
        <v>99</v>
      </c>
      <c r="F268" s="2"/>
      <c r="G268" s="2" t="s">
        <v>100</v>
      </c>
      <c r="H268" s="3">
        <v>17400000</v>
      </c>
      <c r="I268" s="3">
        <v>0</v>
      </c>
      <c r="J268" s="3">
        <v>0</v>
      </c>
      <c r="K268" s="3">
        <v>17400000</v>
      </c>
      <c r="L268" t="s">
        <v>1071</v>
      </c>
      <c r="M268" t="s">
        <v>1072</v>
      </c>
      <c r="N268" t="s">
        <v>1073</v>
      </c>
      <c r="O268" t="s">
        <v>1074</v>
      </c>
      <c r="P268" t="s">
        <v>1075</v>
      </c>
      <c r="Q268" t="s">
        <v>1076</v>
      </c>
      <c r="R268" t="s">
        <v>1077</v>
      </c>
      <c r="S268" t="s">
        <v>1078</v>
      </c>
      <c r="T268" t="s">
        <v>1079</v>
      </c>
      <c r="U268" t="s">
        <v>1080</v>
      </c>
      <c r="V268" t="s">
        <v>1081</v>
      </c>
      <c r="W268" t="s">
        <v>1082</v>
      </c>
      <c r="X268">
        <v>20240630</v>
      </c>
      <c r="Y268" t="s">
        <v>1083</v>
      </c>
      <c r="Z268" t="s">
        <v>1084</v>
      </c>
      <c r="AA268" s="11" t="str">
        <f t="shared" si="4"/>
        <v>EXEC [dbo].[BalanceGeneralInsertar] @Nivel ='Auxiliar',@Transaccional ='Sí',@CodigoCuentaContable ='14980101', @NombreCuentaContable ='Otros',@Identificacion ='900397663',@Sucursal ='',@NombreTercero ='BTL COLOMBIA SAS',@SaldoInicial = 17400000,@MovimientoDebito = 0,@MovimientoCredito =0,@SaldoFinal = 0,@Fecha ='20240630',@IdentificacionCliente = '901434038';</v>
      </c>
      <c r="AB268" t="s">
        <v>1085</v>
      </c>
    </row>
    <row r="269" spans="1:28" x14ac:dyDescent="0.25">
      <c r="A269" s="2" t="s">
        <v>19</v>
      </c>
      <c r="B269" s="2" t="s">
        <v>16</v>
      </c>
      <c r="C269" s="2" t="s">
        <v>306</v>
      </c>
      <c r="D269" s="2" t="s">
        <v>307</v>
      </c>
      <c r="E269" s="2"/>
      <c r="F269" s="2"/>
      <c r="G269" s="2"/>
      <c r="H269" s="3">
        <v>38888889</v>
      </c>
      <c r="I269" s="3">
        <v>0</v>
      </c>
      <c r="J269" s="3">
        <v>1111111</v>
      </c>
      <c r="K269" s="3">
        <v>37777778</v>
      </c>
      <c r="L269" t="s">
        <v>1071</v>
      </c>
      <c r="M269" t="s">
        <v>1072</v>
      </c>
      <c r="N269" t="s">
        <v>1073</v>
      </c>
      <c r="O269" t="s">
        <v>1074</v>
      </c>
      <c r="P269" t="s">
        <v>1075</v>
      </c>
      <c r="Q269" t="s">
        <v>1076</v>
      </c>
      <c r="R269" t="s">
        <v>1077</v>
      </c>
      <c r="S269" t="s">
        <v>1078</v>
      </c>
      <c r="T269" t="s">
        <v>1079</v>
      </c>
      <c r="U269" t="s">
        <v>1080</v>
      </c>
      <c r="V269" t="s">
        <v>1081</v>
      </c>
      <c r="W269" t="s">
        <v>1082</v>
      </c>
      <c r="X269">
        <v>20240630</v>
      </c>
      <c r="Y269" t="s">
        <v>1083</v>
      </c>
      <c r="Z269" t="s">
        <v>1084</v>
      </c>
      <c r="AA269" s="11" t="str">
        <f t="shared" si="4"/>
        <v>EXEC [dbo].[BalanceGeneralInsertar] @Nivel ='Grupo',@Transaccional ='No',@CodigoCuentaContable ='17', @NombreCuentaContable ='Otros activos no financieros',@Identificacion ='',@Sucursal ='',@NombreTercero ='',@SaldoInicial = 38888889,@MovimientoDebito = 0,@MovimientoCredito =1111111,@SaldoFinal = 1111111,@Fecha ='20240630',@IdentificacionCliente = '901434038';</v>
      </c>
      <c r="AB269" t="s">
        <v>1085</v>
      </c>
    </row>
    <row r="270" spans="1:28" x14ac:dyDescent="0.25">
      <c r="A270" s="2" t="s">
        <v>22</v>
      </c>
      <c r="B270" s="2" t="s">
        <v>16</v>
      </c>
      <c r="C270" s="2" t="s">
        <v>308</v>
      </c>
      <c r="D270" s="2" t="s">
        <v>309</v>
      </c>
      <c r="E270" s="2"/>
      <c r="F270" s="2"/>
      <c r="G270" s="2"/>
      <c r="H270" s="3">
        <v>38888889</v>
      </c>
      <c r="I270" s="3">
        <v>0</v>
      </c>
      <c r="J270" s="3">
        <v>1111111</v>
      </c>
      <c r="K270" s="3">
        <v>37777778</v>
      </c>
      <c r="L270" t="s">
        <v>1071</v>
      </c>
      <c r="M270" t="s">
        <v>1072</v>
      </c>
      <c r="N270" t="s">
        <v>1073</v>
      </c>
      <c r="O270" t="s">
        <v>1074</v>
      </c>
      <c r="P270" t="s">
        <v>1075</v>
      </c>
      <c r="Q270" t="s">
        <v>1076</v>
      </c>
      <c r="R270" t="s">
        <v>1077</v>
      </c>
      <c r="S270" t="s">
        <v>1078</v>
      </c>
      <c r="T270" t="s">
        <v>1079</v>
      </c>
      <c r="U270" t="s">
        <v>1080</v>
      </c>
      <c r="V270" t="s">
        <v>1081</v>
      </c>
      <c r="W270" t="s">
        <v>1082</v>
      </c>
      <c r="X270">
        <v>20240630</v>
      </c>
      <c r="Y270" t="s">
        <v>1083</v>
      </c>
      <c r="Z270" t="s">
        <v>1084</v>
      </c>
      <c r="AA270" s="11" t="str">
        <f t="shared" si="4"/>
        <v>EXEC [dbo].[BalanceGeneralInsertar] @Nivel ='Cuenta',@Transaccional ='No',@CodigoCuentaContable ='1710', @NombreCuentaContable ='Diferidos',@Identificacion ='',@Sucursal ='',@NombreTercero ='',@SaldoInicial = 38888889,@MovimientoDebito = 0,@MovimientoCredito =1111111,@SaldoFinal = 1111111,@Fecha ='20240630',@IdentificacionCliente = '901434038';</v>
      </c>
      <c r="AB270" t="s">
        <v>1085</v>
      </c>
    </row>
    <row r="271" spans="1:28" x14ac:dyDescent="0.25">
      <c r="A271" s="2" t="s">
        <v>25</v>
      </c>
      <c r="B271" s="2" t="s">
        <v>16</v>
      </c>
      <c r="C271" s="2" t="s">
        <v>310</v>
      </c>
      <c r="D271" s="2" t="s">
        <v>309</v>
      </c>
      <c r="E271" s="2"/>
      <c r="F271" s="2"/>
      <c r="G271" s="2"/>
      <c r="H271" s="3">
        <v>38888889</v>
      </c>
      <c r="I271" s="3">
        <v>0</v>
      </c>
      <c r="J271" s="3">
        <v>1111111</v>
      </c>
      <c r="K271" s="3">
        <v>37777778</v>
      </c>
      <c r="L271" t="s">
        <v>1071</v>
      </c>
      <c r="M271" t="s">
        <v>1072</v>
      </c>
      <c r="N271" t="s">
        <v>1073</v>
      </c>
      <c r="O271" t="s">
        <v>1074</v>
      </c>
      <c r="P271" t="s">
        <v>1075</v>
      </c>
      <c r="Q271" t="s">
        <v>1076</v>
      </c>
      <c r="R271" t="s">
        <v>1077</v>
      </c>
      <c r="S271" t="s">
        <v>1078</v>
      </c>
      <c r="T271" t="s">
        <v>1079</v>
      </c>
      <c r="U271" t="s">
        <v>1080</v>
      </c>
      <c r="V271" t="s">
        <v>1081</v>
      </c>
      <c r="W271" t="s">
        <v>1082</v>
      </c>
      <c r="X271">
        <v>20240630</v>
      </c>
      <c r="Y271" t="s">
        <v>1083</v>
      </c>
      <c r="Z271" t="s">
        <v>1084</v>
      </c>
      <c r="AA271" s="11" t="str">
        <f t="shared" si="4"/>
        <v>EXEC [dbo].[BalanceGeneralInsertar] @Nivel ='Subcuenta',@Transaccional ='No',@CodigoCuentaContable ='171010', @NombreCuentaContable ='Diferidos',@Identificacion ='',@Sucursal ='',@NombreTercero ='',@SaldoInicial = 38888889,@MovimientoDebito = 0,@MovimientoCredito =1111111,@SaldoFinal = 1111111,@Fecha ='20240630',@IdentificacionCliente = '901434038';</v>
      </c>
      <c r="AB271" t="s">
        <v>1085</v>
      </c>
    </row>
    <row r="272" spans="1:28" x14ac:dyDescent="0.25">
      <c r="A272" s="2" t="s">
        <v>28</v>
      </c>
      <c r="B272" s="2" t="s">
        <v>29</v>
      </c>
      <c r="C272" s="2" t="s">
        <v>311</v>
      </c>
      <c r="D272" s="2" t="s">
        <v>312</v>
      </c>
      <c r="E272" s="2" t="s">
        <v>49</v>
      </c>
      <c r="F272" s="2"/>
      <c r="G272" s="2" t="s">
        <v>50</v>
      </c>
      <c r="H272" s="3">
        <v>38888889</v>
      </c>
      <c r="I272" s="3">
        <v>0</v>
      </c>
      <c r="J272" s="3">
        <v>1111111</v>
      </c>
      <c r="K272" s="3">
        <v>37777778</v>
      </c>
      <c r="L272" t="s">
        <v>1071</v>
      </c>
      <c r="M272" t="s">
        <v>1072</v>
      </c>
      <c r="N272" t="s">
        <v>1073</v>
      </c>
      <c r="O272" t="s">
        <v>1074</v>
      </c>
      <c r="P272" t="s">
        <v>1075</v>
      </c>
      <c r="Q272" t="s">
        <v>1076</v>
      </c>
      <c r="R272" t="s">
        <v>1077</v>
      </c>
      <c r="S272" t="s">
        <v>1078</v>
      </c>
      <c r="T272" t="s">
        <v>1079</v>
      </c>
      <c r="U272" t="s">
        <v>1080</v>
      </c>
      <c r="V272" t="s">
        <v>1081</v>
      </c>
      <c r="W272" t="s">
        <v>1082</v>
      </c>
      <c r="X272">
        <v>20240630</v>
      </c>
      <c r="Y272" t="s">
        <v>1083</v>
      </c>
      <c r="Z272" t="s">
        <v>1084</v>
      </c>
      <c r="AA272" s="11" t="str">
        <f t="shared" si="4"/>
        <v>EXEC [dbo].[BalanceGeneralInsertar] @Nivel ='Auxiliar',@Transaccional ='Sí',@CodigoCuentaContable ='17101001', @NombreCuentaContable ='Gastos por anticipados',@Identificacion ='7128531',@Sucursal ='',@NombreTercero ='GABRIEL OBDULIO REINA TOVAR',@SaldoInicial = 38888889,@MovimientoDebito = 0,@MovimientoCredito =1111111,@SaldoFinal = 1111111,@Fecha ='20240630',@IdentificacionCliente = '901434038';</v>
      </c>
      <c r="AB272" t="s">
        <v>1085</v>
      </c>
    </row>
    <row r="273" spans="1:28" x14ac:dyDescent="0.25">
      <c r="A273" s="2" t="s">
        <v>15</v>
      </c>
      <c r="B273" s="2" t="s">
        <v>16</v>
      </c>
      <c r="C273" s="2" t="s">
        <v>313</v>
      </c>
      <c r="D273" s="2" t="s">
        <v>314</v>
      </c>
      <c r="E273" s="2"/>
      <c r="F273" s="2"/>
      <c r="G273" s="2"/>
      <c r="H273" s="3" t="s">
        <v>857</v>
      </c>
      <c r="I273" s="3" t="s">
        <v>858</v>
      </c>
      <c r="J273" s="3" t="s">
        <v>859</v>
      </c>
      <c r="K273" s="3" t="s">
        <v>860</v>
      </c>
      <c r="L273" t="s">
        <v>1071</v>
      </c>
      <c r="M273" t="s">
        <v>1072</v>
      </c>
      <c r="N273" t="s">
        <v>1073</v>
      </c>
      <c r="O273" t="s">
        <v>1074</v>
      </c>
      <c r="P273" t="s">
        <v>1075</v>
      </c>
      <c r="Q273" t="s">
        <v>1076</v>
      </c>
      <c r="R273" t="s">
        <v>1077</v>
      </c>
      <c r="S273" t="s">
        <v>1078</v>
      </c>
      <c r="T273" t="s">
        <v>1079</v>
      </c>
      <c r="U273" t="s">
        <v>1080</v>
      </c>
      <c r="V273" t="s">
        <v>1081</v>
      </c>
      <c r="W273" t="s">
        <v>1082</v>
      </c>
      <c r="X273">
        <v>20240630</v>
      </c>
      <c r="Y273" t="s">
        <v>1083</v>
      </c>
      <c r="Z273" t="s">
        <v>1084</v>
      </c>
      <c r="AA273" s="11" t="str">
        <f t="shared" si="4"/>
        <v>EXEC [dbo].[BalanceGeneralInsertar] @Nivel ='Clase',@Transaccional ='No',@CodigoCuentaContable ='2', @NombreCuentaContable ='Pasivo',@Identificacion ='',@Sucursal ='',@NombreTercero ='',@SaldoInicial = -1280669294.09,@MovimientoDebito = 99071458.5,@MovimientoCredito =40667671.22,@SaldoFinal = 40667671.22,@Fecha ='20240630',@IdentificacionCliente = '901434038';</v>
      </c>
      <c r="AB273" t="s">
        <v>1085</v>
      </c>
    </row>
    <row r="274" spans="1:28" x14ac:dyDescent="0.25">
      <c r="A274" s="2" t="s">
        <v>19</v>
      </c>
      <c r="B274" s="2" t="s">
        <v>16</v>
      </c>
      <c r="C274" s="2" t="s">
        <v>315</v>
      </c>
      <c r="D274" s="2" t="s">
        <v>316</v>
      </c>
      <c r="E274" s="2"/>
      <c r="F274" s="2"/>
      <c r="G274" s="2"/>
      <c r="H274" s="3" t="s">
        <v>861</v>
      </c>
      <c r="I274" s="3" t="s">
        <v>862</v>
      </c>
      <c r="J274" s="3">
        <v>0</v>
      </c>
      <c r="K274" s="3" t="s">
        <v>863</v>
      </c>
      <c r="L274" t="s">
        <v>1071</v>
      </c>
      <c r="M274" t="s">
        <v>1072</v>
      </c>
      <c r="N274" t="s">
        <v>1073</v>
      </c>
      <c r="O274" t="s">
        <v>1074</v>
      </c>
      <c r="P274" t="s">
        <v>1075</v>
      </c>
      <c r="Q274" t="s">
        <v>1076</v>
      </c>
      <c r="R274" t="s">
        <v>1077</v>
      </c>
      <c r="S274" t="s">
        <v>1078</v>
      </c>
      <c r="T274" t="s">
        <v>1079</v>
      </c>
      <c r="U274" t="s">
        <v>1080</v>
      </c>
      <c r="V274" t="s">
        <v>1081</v>
      </c>
      <c r="W274" t="s">
        <v>1082</v>
      </c>
      <c r="X274">
        <v>20240630</v>
      </c>
      <c r="Y274" t="s">
        <v>1083</v>
      </c>
      <c r="Z274" t="s">
        <v>1084</v>
      </c>
      <c r="AA274" s="11" t="str">
        <f t="shared" si="4"/>
        <v>EXEC [dbo].[BalanceGeneralInsertar] @Nivel ='Grupo',@Transaccional ='No',@CodigoCuentaContable ='21', @NombreCuentaContable ='Pasivos financieros',@Identificacion ='',@Sucursal ='',@NombreTercero ='',@SaldoInicial = -704834072.52,@MovimientoDebito = 44425978.48,@MovimientoCredito =0,@SaldoFinal = 0,@Fecha ='20240630',@IdentificacionCliente = '901434038';</v>
      </c>
      <c r="AB274" t="s">
        <v>1085</v>
      </c>
    </row>
    <row r="275" spans="1:28" x14ac:dyDescent="0.25">
      <c r="A275" s="2" t="s">
        <v>22</v>
      </c>
      <c r="B275" s="2" t="s">
        <v>16</v>
      </c>
      <c r="C275" s="2" t="s">
        <v>317</v>
      </c>
      <c r="D275" s="2" t="s">
        <v>318</v>
      </c>
      <c r="E275" s="2"/>
      <c r="F275" s="2"/>
      <c r="G275" s="2"/>
      <c r="H275" s="3" t="s">
        <v>861</v>
      </c>
      <c r="I275" s="3" t="s">
        <v>862</v>
      </c>
      <c r="J275" s="3">
        <v>0</v>
      </c>
      <c r="K275" s="3" t="s">
        <v>863</v>
      </c>
      <c r="L275" t="s">
        <v>1071</v>
      </c>
      <c r="M275" t="s">
        <v>1072</v>
      </c>
      <c r="N275" t="s">
        <v>1073</v>
      </c>
      <c r="O275" t="s">
        <v>1074</v>
      </c>
      <c r="P275" t="s">
        <v>1075</v>
      </c>
      <c r="Q275" t="s">
        <v>1076</v>
      </c>
      <c r="R275" t="s">
        <v>1077</v>
      </c>
      <c r="S275" t="s">
        <v>1078</v>
      </c>
      <c r="T275" t="s">
        <v>1079</v>
      </c>
      <c r="U275" t="s">
        <v>1080</v>
      </c>
      <c r="V275" t="s">
        <v>1081</v>
      </c>
      <c r="W275" t="s">
        <v>1082</v>
      </c>
      <c r="X275">
        <v>20240630</v>
      </c>
      <c r="Y275" t="s">
        <v>1083</v>
      </c>
      <c r="Z275" t="s">
        <v>1084</v>
      </c>
      <c r="AA275" s="11" t="str">
        <f t="shared" si="4"/>
        <v>EXEC [dbo].[BalanceGeneralInsertar] @Nivel ='Cuenta',@Transaccional ='No',@CodigoCuentaContable ='2105', @NombreCuentaContable ='Bancos nacionales',@Identificacion ='',@Sucursal ='',@NombreTercero ='',@SaldoInicial = -704834072.52,@MovimientoDebito = 44425978.48,@MovimientoCredito =0,@SaldoFinal = 0,@Fecha ='20240630',@IdentificacionCliente = '901434038';</v>
      </c>
      <c r="AB275" t="s">
        <v>1085</v>
      </c>
    </row>
    <row r="276" spans="1:28" x14ac:dyDescent="0.25">
      <c r="A276" s="2" t="s">
        <v>25</v>
      </c>
      <c r="B276" s="2" t="s">
        <v>16</v>
      </c>
      <c r="C276" s="2" t="s">
        <v>319</v>
      </c>
      <c r="D276" s="2" t="s">
        <v>320</v>
      </c>
      <c r="E276" s="2"/>
      <c r="F276" s="2"/>
      <c r="G276" s="2"/>
      <c r="H276" s="3" t="s">
        <v>861</v>
      </c>
      <c r="I276" s="3" t="s">
        <v>862</v>
      </c>
      <c r="J276" s="3">
        <v>0</v>
      </c>
      <c r="K276" s="3" t="s">
        <v>863</v>
      </c>
      <c r="L276" t="s">
        <v>1071</v>
      </c>
      <c r="M276" t="s">
        <v>1072</v>
      </c>
      <c r="N276" t="s">
        <v>1073</v>
      </c>
      <c r="O276" t="s">
        <v>1074</v>
      </c>
      <c r="P276" t="s">
        <v>1075</v>
      </c>
      <c r="Q276" t="s">
        <v>1076</v>
      </c>
      <c r="R276" t="s">
        <v>1077</v>
      </c>
      <c r="S276" t="s">
        <v>1078</v>
      </c>
      <c r="T276" t="s">
        <v>1079</v>
      </c>
      <c r="U276" t="s">
        <v>1080</v>
      </c>
      <c r="V276" t="s">
        <v>1081</v>
      </c>
      <c r="W276" t="s">
        <v>1082</v>
      </c>
      <c r="X276">
        <v>20240630</v>
      </c>
      <c r="Y276" t="s">
        <v>1083</v>
      </c>
      <c r="Z276" t="s">
        <v>1084</v>
      </c>
      <c r="AA276" s="11" t="str">
        <f t="shared" si="4"/>
        <v>EXEC [dbo].[BalanceGeneralInsertar] @Nivel ='Subcuenta',@Transaccional ='No',@CodigoCuentaContable ='210510', @NombreCuentaContable ='Pagares',@Identificacion ='',@Sucursal ='',@NombreTercero ='',@SaldoInicial = -704834072.52,@MovimientoDebito = 44425978.48,@MovimientoCredito =0,@SaldoFinal = 0,@Fecha ='20240630',@IdentificacionCliente = '901434038';</v>
      </c>
      <c r="AB276" t="s">
        <v>1085</v>
      </c>
    </row>
    <row r="277" spans="1:28" x14ac:dyDescent="0.25">
      <c r="A277" s="2" t="s">
        <v>28</v>
      </c>
      <c r="B277" s="2" t="s">
        <v>29</v>
      </c>
      <c r="C277" s="2" t="s">
        <v>321</v>
      </c>
      <c r="D277" s="2" t="s">
        <v>322</v>
      </c>
      <c r="E277" s="2" t="s">
        <v>35</v>
      </c>
      <c r="F277" s="2"/>
      <c r="G277" s="2" t="s">
        <v>36</v>
      </c>
      <c r="H277" s="3">
        <v>-33333338</v>
      </c>
      <c r="I277" s="3" t="s">
        <v>864</v>
      </c>
      <c r="J277" s="3">
        <v>0</v>
      </c>
      <c r="K277" s="3" t="s">
        <v>865</v>
      </c>
      <c r="L277" t="s">
        <v>1071</v>
      </c>
      <c r="M277" t="s">
        <v>1072</v>
      </c>
      <c r="N277" t="s">
        <v>1073</v>
      </c>
      <c r="O277" t="s">
        <v>1074</v>
      </c>
      <c r="P277" t="s">
        <v>1075</v>
      </c>
      <c r="Q277" t="s">
        <v>1076</v>
      </c>
      <c r="R277" t="s">
        <v>1077</v>
      </c>
      <c r="S277" t="s">
        <v>1078</v>
      </c>
      <c r="T277" t="s">
        <v>1079</v>
      </c>
      <c r="U277" t="s">
        <v>1080</v>
      </c>
      <c r="V277" t="s">
        <v>1081</v>
      </c>
      <c r="W277" t="s">
        <v>1082</v>
      </c>
      <c r="X277">
        <v>20240630</v>
      </c>
      <c r="Y277" t="s">
        <v>1083</v>
      </c>
      <c r="Z277" t="s">
        <v>1084</v>
      </c>
      <c r="AA277" s="11" t="str">
        <f t="shared" si="4"/>
        <v>EXEC [dbo].[BalanceGeneralInsertar] @Nivel ='Auxiliar',@Transaccional ='Sí',@CodigoCuentaContable ='21051002', @NombreCuentaContable ='Credito BANCOLOMBIA 3000009527-$ 80.000.000 - 4/16/2024',@Identificacion ='890903938',@Sucursal ='',@NombreTercero ='Bancolombia',@SaldoInicial = -33333338,@MovimientoDebito = 15509302.48,@MovimientoCredito =0,@SaldoFinal = 0,@Fecha ='20240630',@IdentificacionCliente = '901434038';</v>
      </c>
      <c r="AB277" t="s">
        <v>1085</v>
      </c>
    </row>
    <row r="278" spans="1:28" x14ac:dyDescent="0.25">
      <c r="A278" s="2" t="s">
        <v>28</v>
      </c>
      <c r="B278" s="2" t="s">
        <v>29</v>
      </c>
      <c r="C278" s="2" t="s">
        <v>321</v>
      </c>
      <c r="D278" s="2" t="s">
        <v>322</v>
      </c>
      <c r="E278" s="2" t="s">
        <v>87</v>
      </c>
      <c r="F278" s="2"/>
      <c r="G278" s="2" t="s">
        <v>88</v>
      </c>
      <c r="H278" s="3">
        <v>6666666</v>
      </c>
      <c r="I278" s="3">
        <v>0</v>
      </c>
      <c r="J278" s="3">
        <v>0</v>
      </c>
      <c r="K278" s="3">
        <v>6666666</v>
      </c>
      <c r="L278" t="s">
        <v>1071</v>
      </c>
      <c r="M278" t="s">
        <v>1072</v>
      </c>
      <c r="N278" t="s">
        <v>1073</v>
      </c>
      <c r="O278" t="s">
        <v>1074</v>
      </c>
      <c r="P278" t="s">
        <v>1075</v>
      </c>
      <c r="Q278" t="s">
        <v>1076</v>
      </c>
      <c r="R278" t="s">
        <v>1077</v>
      </c>
      <c r="S278" t="s">
        <v>1078</v>
      </c>
      <c r="T278" t="s">
        <v>1079</v>
      </c>
      <c r="U278" t="s">
        <v>1080</v>
      </c>
      <c r="V278" t="s">
        <v>1081</v>
      </c>
      <c r="W278" t="s">
        <v>1082</v>
      </c>
      <c r="X278">
        <v>20240630</v>
      </c>
      <c r="Y278" t="s">
        <v>1083</v>
      </c>
      <c r="Z278" t="s">
        <v>1084</v>
      </c>
      <c r="AA278" s="11" t="str">
        <f t="shared" si="4"/>
        <v>EXEC [dbo].[BalanceGeneralInsertar] @Nivel ='Auxiliar',@Transaccional ='Sí',@CodigoCuentaContable ='21051002', @NombreCuentaContable ='Credito BANCOLOMBIA 3000009527-$ 80.000.000 - 4/16/2024',@Identificacion ='830054539',@Sucursal ='',@NombreTercero ='FIDUCIARIA BANCOLOMBIA S.A',@SaldoInicial = 6666666,@MovimientoDebito = 0,@MovimientoCredito =0,@SaldoFinal = 0,@Fecha ='20240630',@IdentificacionCliente = '901434038';</v>
      </c>
      <c r="AB278" t="s">
        <v>1085</v>
      </c>
    </row>
    <row r="279" spans="1:28" x14ac:dyDescent="0.25">
      <c r="A279" s="2" t="s">
        <v>28</v>
      </c>
      <c r="B279" s="2" t="s">
        <v>29</v>
      </c>
      <c r="C279" s="2" t="s">
        <v>323</v>
      </c>
      <c r="D279" s="2" t="s">
        <v>324</v>
      </c>
      <c r="E279" s="2" t="s">
        <v>35</v>
      </c>
      <c r="F279" s="2"/>
      <c r="G279" s="2" t="s">
        <v>36</v>
      </c>
      <c r="H279" s="3">
        <v>-5996530</v>
      </c>
      <c r="I279" s="3">
        <v>0</v>
      </c>
      <c r="J279" s="3">
        <v>0</v>
      </c>
      <c r="K279" s="3">
        <v>-5996530</v>
      </c>
      <c r="L279" t="s">
        <v>1071</v>
      </c>
      <c r="M279" t="s">
        <v>1072</v>
      </c>
      <c r="N279" t="s">
        <v>1073</v>
      </c>
      <c r="O279" t="s">
        <v>1074</v>
      </c>
      <c r="P279" t="s">
        <v>1075</v>
      </c>
      <c r="Q279" t="s">
        <v>1076</v>
      </c>
      <c r="R279" t="s">
        <v>1077</v>
      </c>
      <c r="S279" t="s">
        <v>1078</v>
      </c>
      <c r="T279" t="s">
        <v>1079</v>
      </c>
      <c r="U279" t="s">
        <v>1080</v>
      </c>
      <c r="V279" t="s">
        <v>1081</v>
      </c>
      <c r="W279" t="s">
        <v>1082</v>
      </c>
      <c r="X279">
        <v>20240630</v>
      </c>
      <c r="Y279" t="s">
        <v>1083</v>
      </c>
      <c r="Z279" t="s">
        <v>1084</v>
      </c>
      <c r="AA279" s="11" t="str">
        <f t="shared" si="4"/>
        <v>EXEC [dbo].[BalanceGeneralInsertar] @Nivel ='Auxiliar',@Transaccional ='Sí',@CodigoCuentaContable ='21051003', @NombreCuentaContable ='Crédito BANCOLOMBIA  1260098197- $ 117.500.000',@Identificacion ='890903938',@Sucursal ='',@NombreTercero ='Bancolombia',@SaldoInicial = -5996530,@MovimientoDebito = 0,@MovimientoCredito =0,@SaldoFinal = 0,@Fecha ='20240630',@IdentificacionCliente = '901434038';</v>
      </c>
      <c r="AB279" t="s">
        <v>1085</v>
      </c>
    </row>
    <row r="280" spans="1:28" x14ac:dyDescent="0.25">
      <c r="A280" s="2" t="s">
        <v>28</v>
      </c>
      <c r="B280" s="2" t="s">
        <v>29</v>
      </c>
      <c r="C280" s="2" t="s">
        <v>325</v>
      </c>
      <c r="D280" s="2" t="s">
        <v>326</v>
      </c>
      <c r="E280" s="2" t="s">
        <v>35</v>
      </c>
      <c r="F280" s="2"/>
      <c r="G280" s="2" t="s">
        <v>36</v>
      </c>
      <c r="H280" s="3" t="s">
        <v>866</v>
      </c>
      <c r="I280" s="3">
        <v>5666678</v>
      </c>
      <c r="J280" s="3">
        <v>0</v>
      </c>
      <c r="K280" s="3" t="s">
        <v>867</v>
      </c>
      <c r="L280" t="s">
        <v>1071</v>
      </c>
      <c r="M280" t="s">
        <v>1072</v>
      </c>
      <c r="N280" t="s">
        <v>1073</v>
      </c>
      <c r="O280" t="s">
        <v>1074</v>
      </c>
      <c r="P280" t="s">
        <v>1075</v>
      </c>
      <c r="Q280" t="s">
        <v>1076</v>
      </c>
      <c r="R280" t="s">
        <v>1077</v>
      </c>
      <c r="S280" t="s">
        <v>1078</v>
      </c>
      <c r="T280" t="s">
        <v>1079</v>
      </c>
      <c r="U280" t="s">
        <v>1080</v>
      </c>
      <c r="V280" t="s">
        <v>1081</v>
      </c>
      <c r="W280" t="s">
        <v>1082</v>
      </c>
      <c r="X280">
        <v>20240630</v>
      </c>
      <c r="Y280" t="s">
        <v>1083</v>
      </c>
      <c r="Z280" t="s">
        <v>1084</v>
      </c>
      <c r="AA280" s="11" t="str">
        <f t="shared" si="4"/>
        <v>EXEC [dbo].[BalanceGeneralInsertar] @Nivel ='Auxiliar',@Transaccional ='Sí',@CodigoCuentaContable ='21051004', @NombreCuentaContable ='Credito BANCOLOMBIA 901434038 $102.000.000',@Identificacion ='890903938',@Sucursal ='',@NombreTercero ='Bancolombia',@SaldoInicial = 8814324.76,@MovimientoDebito = 5666678,@MovimientoCredito =0,@SaldoFinal = 0,@Fecha ='20240630',@IdentificacionCliente = '901434038';</v>
      </c>
      <c r="AB280" t="s">
        <v>1085</v>
      </c>
    </row>
    <row r="281" spans="1:28" x14ac:dyDescent="0.25">
      <c r="A281" s="2" t="s">
        <v>28</v>
      </c>
      <c r="B281" s="2" t="s">
        <v>29</v>
      </c>
      <c r="C281" s="2" t="s">
        <v>327</v>
      </c>
      <c r="D281" s="2" t="s">
        <v>328</v>
      </c>
      <c r="E281" s="2" t="s">
        <v>35</v>
      </c>
      <c r="F281" s="2"/>
      <c r="G281" s="2" t="s">
        <v>36</v>
      </c>
      <c r="H281" s="3" t="s">
        <v>868</v>
      </c>
      <c r="I281" s="3">
        <v>9166666</v>
      </c>
      <c r="J281" s="3">
        <v>0</v>
      </c>
      <c r="K281" s="3" t="s">
        <v>869</v>
      </c>
      <c r="L281" t="s">
        <v>1071</v>
      </c>
      <c r="M281" t="s">
        <v>1072</v>
      </c>
      <c r="N281" t="s">
        <v>1073</v>
      </c>
      <c r="O281" t="s">
        <v>1074</v>
      </c>
      <c r="P281" t="s">
        <v>1075</v>
      </c>
      <c r="Q281" t="s">
        <v>1076</v>
      </c>
      <c r="R281" t="s">
        <v>1077</v>
      </c>
      <c r="S281" t="s">
        <v>1078</v>
      </c>
      <c r="T281" t="s">
        <v>1079</v>
      </c>
      <c r="U281" t="s">
        <v>1080</v>
      </c>
      <c r="V281" t="s">
        <v>1081</v>
      </c>
      <c r="W281" t="s">
        <v>1082</v>
      </c>
      <c r="X281">
        <v>20240630</v>
      </c>
      <c r="Y281" t="s">
        <v>1083</v>
      </c>
      <c r="Z281" t="s">
        <v>1084</v>
      </c>
      <c r="AA281" s="11" t="str">
        <f t="shared" si="4"/>
        <v>EXEC [dbo].[BalanceGeneralInsertar] @Nivel ='Auxiliar',@Transaccional ='Sí',@CodigoCuentaContable ='21051005', @NombreCuentaContable ='Credito BANCOLOMBIA 2810085761 $ 220.000.000',@Identificacion ='890903938',@Sucursal ='',@NombreTercero ='Bancolombia',@SaldoInicial = -104348541.76,@MovimientoDebito = 9166666,@MovimientoCredito =0,@SaldoFinal = 0,@Fecha ='20240630',@IdentificacionCliente = '901434038';</v>
      </c>
      <c r="AB281" t="s">
        <v>1085</v>
      </c>
    </row>
    <row r="282" spans="1:28" x14ac:dyDescent="0.25">
      <c r="A282" s="2" t="s">
        <v>28</v>
      </c>
      <c r="B282" s="2" t="s">
        <v>29</v>
      </c>
      <c r="C282" s="2" t="s">
        <v>329</v>
      </c>
      <c r="D282" s="2" t="s">
        <v>330</v>
      </c>
      <c r="E282" s="2" t="s">
        <v>35</v>
      </c>
      <c r="F282" s="2"/>
      <c r="G282" s="2" t="s">
        <v>36</v>
      </c>
      <c r="H282" s="3">
        <v>-121333338</v>
      </c>
      <c r="I282" s="3">
        <v>8666666</v>
      </c>
      <c r="J282" s="3">
        <v>0</v>
      </c>
      <c r="K282" s="3">
        <v>-112666672</v>
      </c>
      <c r="L282" t="s">
        <v>1071</v>
      </c>
      <c r="M282" t="s">
        <v>1072</v>
      </c>
      <c r="N282" t="s">
        <v>1073</v>
      </c>
      <c r="O282" t="s">
        <v>1074</v>
      </c>
      <c r="P282" t="s">
        <v>1075</v>
      </c>
      <c r="Q282" t="s">
        <v>1076</v>
      </c>
      <c r="R282" t="s">
        <v>1077</v>
      </c>
      <c r="S282" t="s">
        <v>1078</v>
      </c>
      <c r="T282" t="s">
        <v>1079</v>
      </c>
      <c r="U282" t="s">
        <v>1080</v>
      </c>
      <c r="V282" t="s">
        <v>1081</v>
      </c>
      <c r="W282" t="s">
        <v>1082</v>
      </c>
      <c r="X282">
        <v>20240630</v>
      </c>
      <c r="Y282" t="s">
        <v>1083</v>
      </c>
      <c r="Z282" t="s">
        <v>1084</v>
      </c>
      <c r="AA282" s="11" t="str">
        <f t="shared" si="4"/>
        <v>EXEC [dbo].[BalanceGeneralInsertar] @Nivel ='Auxiliar',@Transaccional ='Sí',@CodigoCuentaContable ='21051006', @NombreCuentaContable ='Credito Septiembre 2023',@Identificacion ='890903938',@Sucursal ='',@NombreTercero ='Bancolombia',@SaldoInicial = -121333338,@MovimientoDebito = 8666666,@MovimientoCredito =0,@SaldoFinal = 0,@Fecha ='20240630',@IdentificacionCliente = '901434038';</v>
      </c>
      <c r="AB282" t="s">
        <v>1085</v>
      </c>
    </row>
    <row r="283" spans="1:28" x14ac:dyDescent="0.25">
      <c r="A283" s="2" t="s">
        <v>28</v>
      </c>
      <c r="B283" s="2" t="s">
        <v>29</v>
      </c>
      <c r="C283" s="2" t="s">
        <v>331</v>
      </c>
      <c r="D283" s="2" t="s">
        <v>332</v>
      </c>
      <c r="E283" s="2" t="s">
        <v>35</v>
      </c>
      <c r="F283" s="2"/>
      <c r="G283" s="2" t="s">
        <v>36</v>
      </c>
      <c r="H283" s="3">
        <v>-52500004</v>
      </c>
      <c r="I283" s="3">
        <v>2916666</v>
      </c>
      <c r="J283" s="3">
        <v>0</v>
      </c>
      <c r="K283" s="3">
        <v>-49583338</v>
      </c>
      <c r="L283" t="s">
        <v>1071</v>
      </c>
      <c r="M283" t="s">
        <v>1072</v>
      </c>
      <c r="N283" t="s">
        <v>1073</v>
      </c>
      <c r="O283" t="s">
        <v>1074</v>
      </c>
      <c r="P283" t="s">
        <v>1075</v>
      </c>
      <c r="Q283" t="s">
        <v>1076</v>
      </c>
      <c r="R283" t="s">
        <v>1077</v>
      </c>
      <c r="S283" t="s">
        <v>1078</v>
      </c>
      <c r="T283" t="s">
        <v>1079</v>
      </c>
      <c r="U283" t="s">
        <v>1080</v>
      </c>
      <c r="V283" t="s">
        <v>1081</v>
      </c>
      <c r="W283" t="s">
        <v>1082</v>
      </c>
      <c r="X283">
        <v>20240630</v>
      </c>
      <c r="Y283" t="s">
        <v>1083</v>
      </c>
      <c r="Z283" t="s">
        <v>1084</v>
      </c>
      <c r="AA283" s="11" t="str">
        <f t="shared" si="4"/>
        <v>EXEC [dbo].[BalanceGeneralInsertar] @Nivel ='Auxiliar',@Transaccional ='Sí',@CodigoCuentaContable ='21051007', @NombreCuentaContable ='Credito Bancolombia octubre 2023-$ 70.000.000',@Identificacion ='890903938',@Sucursal ='',@NombreTercero ='Bancolombia',@SaldoInicial = -52500004,@MovimientoDebito = 2916666,@MovimientoCredito =0,@SaldoFinal = 0,@Fecha ='20240630',@IdentificacionCliente = '901434038';</v>
      </c>
      <c r="AB283" t="s">
        <v>1085</v>
      </c>
    </row>
    <row r="284" spans="1:28" x14ac:dyDescent="0.25">
      <c r="A284" s="2" t="s">
        <v>28</v>
      </c>
      <c r="B284" s="2" t="s">
        <v>29</v>
      </c>
      <c r="C284" s="2" t="s">
        <v>333</v>
      </c>
      <c r="D284" s="2" t="s">
        <v>334</v>
      </c>
      <c r="E284" s="2" t="s">
        <v>35</v>
      </c>
      <c r="F284" s="2"/>
      <c r="G284" s="2" t="s">
        <v>36</v>
      </c>
      <c r="H284" s="3">
        <v>-42500000</v>
      </c>
      <c r="I284" s="3">
        <v>2500000</v>
      </c>
      <c r="J284" s="3">
        <v>0</v>
      </c>
      <c r="K284" s="3">
        <v>-40000000</v>
      </c>
      <c r="L284" t="s">
        <v>1071</v>
      </c>
      <c r="M284" t="s">
        <v>1072</v>
      </c>
      <c r="N284" t="s">
        <v>1073</v>
      </c>
      <c r="O284" t="s">
        <v>1074</v>
      </c>
      <c r="P284" t="s">
        <v>1075</v>
      </c>
      <c r="Q284" t="s">
        <v>1076</v>
      </c>
      <c r="R284" t="s">
        <v>1077</v>
      </c>
      <c r="S284" t="s">
        <v>1078</v>
      </c>
      <c r="T284" t="s">
        <v>1079</v>
      </c>
      <c r="U284" t="s">
        <v>1080</v>
      </c>
      <c r="V284" t="s">
        <v>1081</v>
      </c>
      <c r="W284" t="s">
        <v>1082</v>
      </c>
      <c r="X284">
        <v>20240630</v>
      </c>
      <c r="Y284" t="s">
        <v>1083</v>
      </c>
      <c r="Z284" t="s">
        <v>1084</v>
      </c>
      <c r="AA284" s="11" t="str">
        <f t="shared" si="4"/>
        <v>EXEC [dbo].[BalanceGeneralInsertar] @Nivel ='Auxiliar',@Transaccional ='Sí',@CodigoCuentaContable ='21051008', @NombreCuentaContable ='Credito 2810086067 24/10/2023',@Identificacion ='890903938',@Sucursal ='',@NombreTercero ='Bancolombia',@SaldoInicial = -42500000,@MovimientoDebito = 2500000,@MovimientoCredito =0,@SaldoFinal = 0,@Fecha ='20240630',@IdentificacionCliente = '901434038';</v>
      </c>
      <c r="AB284" t="s">
        <v>1085</v>
      </c>
    </row>
    <row r="285" spans="1:28" x14ac:dyDescent="0.25">
      <c r="A285" s="2" t="s">
        <v>28</v>
      </c>
      <c r="B285" s="2" t="s">
        <v>29</v>
      </c>
      <c r="C285" s="2" t="s">
        <v>335</v>
      </c>
      <c r="D285" s="2" t="s">
        <v>336</v>
      </c>
      <c r="E285" s="2" t="s">
        <v>35</v>
      </c>
      <c r="F285" s="2"/>
      <c r="G285" s="2" t="s">
        <v>36</v>
      </c>
      <c r="H285" s="3">
        <v>-125525</v>
      </c>
      <c r="I285" s="3">
        <v>0</v>
      </c>
      <c r="J285" s="3">
        <v>0</v>
      </c>
      <c r="K285" s="3">
        <v>-125525</v>
      </c>
      <c r="L285" t="s">
        <v>1071</v>
      </c>
      <c r="M285" t="s">
        <v>1072</v>
      </c>
      <c r="N285" t="s">
        <v>1073</v>
      </c>
      <c r="O285" t="s">
        <v>1074</v>
      </c>
      <c r="P285" t="s">
        <v>1075</v>
      </c>
      <c r="Q285" t="s">
        <v>1076</v>
      </c>
      <c r="R285" t="s">
        <v>1077</v>
      </c>
      <c r="S285" t="s">
        <v>1078</v>
      </c>
      <c r="T285" t="s">
        <v>1079</v>
      </c>
      <c r="U285" t="s">
        <v>1080</v>
      </c>
      <c r="V285" t="s">
        <v>1081</v>
      </c>
      <c r="W285" t="s">
        <v>1082</v>
      </c>
      <c r="X285">
        <v>20240630</v>
      </c>
      <c r="Y285" t="s">
        <v>1083</v>
      </c>
      <c r="Z285" t="s">
        <v>1084</v>
      </c>
      <c r="AA285" s="11" t="str">
        <f t="shared" si="4"/>
        <v>EXEC [dbo].[BalanceGeneralInsertar] @Nivel ='Auxiliar',@Transaccional ='Sí',@CodigoCuentaContable ='21051011', @NombreCuentaContable ='Tarjeta de credito sempli',@Identificacion ='890903938',@Sucursal ='',@NombreTercero ='Bancolombia',@SaldoInicial = -125525,@MovimientoDebito = 0,@MovimientoCredito =0,@SaldoFinal = 0,@Fecha ='20240630',@IdentificacionCliente = '901434038';</v>
      </c>
      <c r="AB285" t="s">
        <v>1085</v>
      </c>
    </row>
    <row r="286" spans="1:28" x14ac:dyDescent="0.25">
      <c r="A286" s="2" t="s">
        <v>28</v>
      </c>
      <c r="B286" s="2" t="s">
        <v>29</v>
      </c>
      <c r="C286" s="2" t="s">
        <v>335</v>
      </c>
      <c r="D286" s="2" t="s">
        <v>336</v>
      </c>
      <c r="E286" s="2" t="s">
        <v>119</v>
      </c>
      <c r="F286" s="2"/>
      <c r="G286" s="2" t="s">
        <v>120</v>
      </c>
      <c r="H286" s="3">
        <v>-264074</v>
      </c>
      <c r="I286" s="3">
        <v>0</v>
      </c>
      <c r="J286" s="3">
        <v>0</v>
      </c>
      <c r="K286" s="3">
        <v>-264074</v>
      </c>
      <c r="L286" t="s">
        <v>1071</v>
      </c>
      <c r="M286" t="s">
        <v>1072</v>
      </c>
      <c r="N286" t="s">
        <v>1073</v>
      </c>
      <c r="O286" t="s">
        <v>1074</v>
      </c>
      <c r="P286" t="s">
        <v>1075</v>
      </c>
      <c r="Q286" t="s">
        <v>1076</v>
      </c>
      <c r="R286" t="s">
        <v>1077</v>
      </c>
      <c r="S286" t="s">
        <v>1078</v>
      </c>
      <c r="T286" t="s">
        <v>1079</v>
      </c>
      <c r="U286" t="s">
        <v>1080</v>
      </c>
      <c r="V286" t="s">
        <v>1081</v>
      </c>
      <c r="W286" t="s">
        <v>1082</v>
      </c>
      <c r="X286">
        <v>20240630</v>
      </c>
      <c r="Y286" t="s">
        <v>1083</v>
      </c>
      <c r="Z286" t="s">
        <v>1084</v>
      </c>
      <c r="AA286" s="11" t="str">
        <f t="shared" si="4"/>
        <v>EXEC [dbo].[BalanceGeneralInsertar] @Nivel ='Auxiliar',@Transaccional ='Sí',@CodigoCuentaContable ='21051011', @NombreCuentaContable ='Tarjeta de credito sempli',@Identificacion ='80196373',@Sucursal ='',@NombreTercero ='JUAN FERNANDO DURAN LOPEZ',@SaldoInicial = -264074,@MovimientoDebito = 0,@MovimientoCredito =0,@SaldoFinal = 0,@Fecha ='20240630',@IdentificacionCliente = '901434038';</v>
      </c>
      <c r="AB286" t="s">
        <v>1085</v>
      </c>
    </row>
    <row r="287" spans="1:28" x14ac:dyDescent="0.25">
      <c r="A287" s="2" t="s">
        <v>28</v>
      </c>
      <c r="B287" s="2" t="s">
        <v>29</v>
      </c>
      <c r="C287" s="2" t="s">
        <v>335</v>
      </c>
      <c r="D287" s="2" t="s">
        <v>336</v>
      </c>
      <c r="E287" s="2" t="s">
        <v>337</v>
      </c>
      <c r="F287" s="2"/>
      <c r="G287" s="2" t="s">
        <v>338</v>
      </c>
      <c r="H287" s="3">
        <v>-57120</v>
      </c>
      <c r="I287" s="3">
        <v>0</v>
      </c>
      <c r="J287" s="3">
        <v>0</v>
      </c>
      <c r="K287" s="3">
        <v>-57120</v>
      </c>
      <c r="L287" t="s">
        <v>1071</v>
      </c>
      <c r="M287" t="s">
        <v>1072</v>
      </c>
      <c r="N287" t="s">
        <v>1073</v>
      </c>
      <c r="O287" t="s">
        <v>1074</v>
      </c>
      <c r="P287" t="s">
        <v>1075</v>
      </c>
      <c r="Q287" t="s">
        <v>1076</v>
      </c>
      <c r="R287" t="s">
        <v>1077</v>
      </c>
      <c r="S287" t="s">
        <v>1078</v>
      </c>
      <c r="T287" t="s">
        <v>1079</v>
      </c>
      <c r="U287" t="s">
        <v>1080</v>
      </c>
      <c r="V287" t="s">
        <v>1081</v>
      </c>
      <c r="W287" t="s">
        <v>1082</v>
      </c>
      <c r="X287">
        <v>20240630</v>
      </c>
      <c r="Y287" t="s">
        <v>1083</v>
      </c>
      <c r="Z287" t="s">
        <v>1084</v>
      </c>
      <c r="AA287" s="11" t="str">
        <f t="shared" si="4"/>
        <v>EXEC [dbo].[BalanceGeneralInsertar] @Nivel ='Auxiliar',@Transaccional ='Sí',@CodigoCuentaContable ='21051011', @NombreCuentaContable ='Tarjeta de credito sempli',@Identificacion ='900165105',@Sucursal ='',@NombreTercero ='COLOMBIAHOSTING SAS',@SaldoInicial = -57120,@MovimientoDebito = 0,@MovimientoCredito =0,@SaldoFinal = 0,@Fecha ='20240630',@IdentificacionCliente = '901434038';</v>
      </c>
      <c r="AB287" t="s">
        <v>1085</v>
      </c>
    </row>
    <row r="288" spans="1:28" x14ac:dyDescent="0.25">
      <c r="A288" s="2" t="s">
        <v>28</v>
      </c>
      <c r="B288" s="2" t="s">
        <v>29</v>
      </c>
      <c r="C288" s="2" t="s">
        <v>335</v>
      </c>
      <c r="D288" s="2" t="s">
        <v>336</v>
      </c>
      <c r="E288" s="2" t="s">
        <v>61</v>
      </c>
      <c r="F288" s="2"/>
      <c r="G288" s="2" t="s">
        <v>62</v>
      </c>
      <c r="H288" s="3" t="s">
        <v>870</v>
      </c>
      <c r="I288" s="3">
        <v>0</v>
      </c>
      <c r="J288" s="3">
        <v>0</v>
      </c>
      <c r="K288" s="3" t="s">
        <v>870</v>
      </c>
      <c r="L288" t="s">
        <v>1071</v>
      </c>
      <c r="M288" t="s">
        <v>1072</v>
      </c>
      <c r="N288" t="s">
        <v>1073</v>
      </c>
      <c r="O288" t="s">
        <v>1074</v>
      </c>
      <c r="P288" t="s">
        <v>1075</v>
      </c>
      <c r="Q288" t="s">
        <v>1076</v>
      </c>
      <c r="R288" t="s">
        <v>1077</v>
      </c>
      <c r="S288" t="s">
        <v>1078</v>
      </c>
      <c r="T288" t="s">
        <v>1079</v>
      </c>
      <c r="U288" t="s">
        <v>1080</v>
      </c>
      <c r="V288" t="s">
        <v>1081</v>
      </c>
      <c r="W288" t="s">
        <v>1082</v>
      </c>
      <c r="X288">
        <v>20240630</v>
      </c>
      <c r="Y288" t="s">
        <v>1083</v>
      </c>
      <c r="Z288" t="s">
        <v>1084</v>
      </c>
      <c r="AA288" s="11" t="str">
        <f t="shared" si="4"/>
        <v>EXEC [dbo].[BalanceGeneralInsertar] @Nivel ='Auxiliar',@Transaccional ='Sí',@CodigoCuentaContable ='21051011', @NombreCuentaContable ='Tarjeta de credito sempli',@Identificacion ='900995954',@Sucursal ='',@NombreTercero ='SEMPLI S.A.S.',@SaldoInicial = 538307.48,@MovimientoDebito = 0,@MovimientoCredito =0,@SaldoFinal = 0,@Fecha ='20240630',@IdentificacionCliente = '901434038';</v>
      </c>
      <c r="AB288" t="s">
        <v>1085</v>
      </c>
    </row>
    <row r="289" spans="1:28" x14ac:dyDescent="0.25">
      <c r="A289" s="2" t="s">
        <v>28</v>
      </c>
      <c r="B289" s="2" t="s">
        <v>29</v>
      </c>
      <c r="C289" s="2" t="s">
        <v>335</v>
      </c>
      <c r="D289" s="2" t="s">
        <v>336</v>
      </c>
      <c r="E289" s="2" t="s">
        <v>339</v>
      </c>
      <c r="F289" s="2"/>
      <c r="G289" s="2" t="s">
        <v>340</v>
      </c>
      <c r="H289" s="3">
        <v>-80000</v>
      </c>
      <c r="I289" s="3">
        <v>0</v>
      </c>
      <c r="J289" s="3">
        <v>0</v>
      </c>
      <c r="K289" s="3">
        <v>-80000</v>
      </c>
      <c r="L289" t="s">
        <v>1071</v>
      </c>
      <c r="M289" t="s">
        <v>1072</v>
      </c>
      <c r="N289" t="s">
        <v>1073</v>
      </c>
      <c r="O289" t="s">
        <v>1074</v>
      </c>
      <c r="P289" t="s">
        <v>1075</v>
      </c>
      <c r="Q289" t="s">
        <v>1076</v>
      </c>
      <c r="R289" t="s">
        <v>1077</v>
      </c>
      <c r="S289" t="s">
        <v>1078</v>
      </c>
      <c r="T289" t="s">
        <v>1079</v>
      </c>
      <c r="U289" t="s">
        <v>1080</v>
      </c>
      <c r="V289" t="s">
        <v>1081</v>
      </c>
      <c r="W289" t="s">
        <v>1082</v>
      </c>
      <c r="X289">
        <v>20240630</v>
      </c>
      <c r="Y289" t="s">
        <v>1083</v>
      </c>
      <c r="Z289" t="s">
        <v>1084</v>
      </c>
      <c r="AA289" s="11" t="str">
        <f t="shared" si="4"/>
        <v>EXEC [dbo].[BalanceGeneralInsertar] @Nivel ='Auxiliar',@Transaccional ='Sí',@CodigoCuentaContable ='21051011', @NombreCuentaContable ='Tarjeta de credito sempli',@Identificacion ='830081427',@Sucursal ='',@NombreTercero ='TAKAMI SA',@SaldoInicial = -80000,@MovimientoDebito = 0,@MovimientoCredito =0,@SaldoFinal = 0,@Fecha ='20240630',@IdentificacionCliente = '901434038';</v>
      </c>
      <c r="AB289" t="s">
        <v>1085</v>
      </c>
    </row>
    <row r="290" spans="1:28" x14ac:dyDescent="0.25">
      <c r="A290" s="2" t="s">
        <v>28</v>
      </c>
      <c r="B290" s="2" t="s">
        <v>29</v>
      </c>
      <c r="C290" s="2" t="s">
        <v>341</v>
      </c>
      <c r="D290" s="2" t="s">
        <v>342</v>
      </c>
      <c r="E290" s="2" t="s">
        <v>35</v>
      </c>
      <c r="F290" s="2"/>
      <c r="G290" s="2" t="s">
        <v>36</v>
      </c>
      <c r="H290" s="3">
        <v>-132683000</v>
      </c>
      <c r="I290" s="3">
        <v>0</v>
      </c>
      <c r="J290" s="3">
        <v>0</v>
      </c>
      <c r="K290" s="3">
        <v>-132683000</v>
      </c>
      <c r="L290" t="s">
        <v>1071</v>
      </c>
      <c r="M290" t="s">
        <v>1072</v>
      </c>
      <c r="N290" t="s">
        <v>1073</v>
      </c>
      <c r="O290" t="s">
        <v>1074</v>
      </c>
      <c r="P290" t="s">
        <v>1075</v>
      </c>
      <c r="Q290" t="s">
        <v>1076</v>
      </c>
      <c r="R290" t="s">
        <v>1077</v>
      </c>
      <c r="S290" t="s">
        <v>1078</v>
      </c>
      <c r="T290" t="s">
        <v>1079</v>
      </c>
      <c r="U290" t="s">
        <v>1080</v>
      </c>
      <c r="V290" t="s">
        <v>1081</v>
      </c>
      <c r="W290" t="s">
        <v>1082</v>
      </c>
      <c r="X290">
        <v>20240630</v>
      </c>
      <c r="Y290" t="s">
        <v>1083</v>
      </c>
      <c r="Z290" t="s">
        <v>1084</v>
      </c>
      <c r="AA290" s="11" t="str">
        <f t="shared" si="4"/>
        <v>EXEC [dbo].[BalanceGeneralInsertar] @Nivel ='Auxiliar',@Transaccional ='Sí',@CodigoCuentaContable ='21051012', @NombreCuentaContable ='Credito 3000009486 20-3-2024- 132683.000',@Identificacion ='890903938',@Sucursal ='',@NombreTercero ='Bancolombia',@SaldoInicial = -132683000,@MovimientoDebito = 0,@MovimientoCredito =0,@SaldoFinal = 0,@Fecha ='20240630',@IdentificacionCliente = '901434038';</v>
      </c>
      <c r="AB290" t="s">
        <v>1085</v>
      </c>
    </row>
    <row r="291" spans="1:28" x14ac:dyDescent="0.25">
      <c r="A291" s="2" t="s">
        <v>28</v>
      </c>
      <c r="B291" s="2" t="s">
        <v>29</v>
      </c>
      <c r="C291" s="2" t="s">
        <v>343</v>
      </c>
      <c r="D291" s="2" t="s">
        <v>344</v>
      </c>
      <c r="E291" s="2" t="s">
        <v>35</v>
      </c>
      <c r="F291" s="2"/>
      <c r="G291" s="2" t="s">
        <v>36</v>
      </c>
      <c r="H291" s="3">
        <v>-80000000</v>
      </c>
      <c r="I291" s="3">
        <v>0</v>
      </c>
      <c r="J291" s="3">
        <v>0</v>
      </c>
      <c r="K291" s="3">
        <v>-80000000</v>
      </c>
      <c r="L291" t="s">
        <v>1071</v>
      </c>
      <c r="M291" t="s">
        <v>1072</v>
      </c>
      <c r="N291" t="s">
        <v>1073</v>
      </c>
      <c r="O291" t="s">
        <v>1074</v>
      </c>
      <c r="P291" t="s">
        <v>1075</v>
      </c>
      <c r="Q291" t="s">
        <v>1076</v>
      </c>
      <c r="R291" t="s">
        <v>1077</v>
      </c>
      <c r="S291" t="s">
        <v>1078</v>
      </c>
      <c r="T291" t="s">
        <v>1079</v>
      </c>
      <c r="U291" t="s">
        <v>1080</v>
      </c>
      <c r="V291" t="s">
        <v>1081</v>
      </c>
      <c r="W291" t="s">
        <v>1082</v>
      </c>
      <c r="X291">
        <v>20240630</v>
      </c>
      <c r="Y291" t="s">
        <v>1083</v>
      </c>
      <c r="Z291" t="s">
        <v>1084</v>
      </c>
      <c r="AA291" s="11" t="str">
        <f t="shared" si="4"/>
        <v>EXEC [dbo].[BalanceGeneralInsertar] @Nivel ='Auxiliar',@Transaccional ='Sí',@CodigoCuentaContable ='21051013', @NombreCuentaContable ='Credito BANCOLOMBIA 16-4-24 No 41252662 $ 80.000.0',@Identificacion ='890903938',@Sucursal ='',@NombreTercero ='Bancolombia',@SaldoInicial = -80000000,@MovimientoDebito = 0,@MovimientoCredito =0,@SaldoFinal = 0,@Fecha ='20240630',@IdentificacionCliente = '901434038';</v>
      </c>
      <c r="AB291" t="s">
        <v>1085</v>
      </c>
    </row>
    <row r="292" spans="1:28" x14ac:dyDescent="0.25">
      <c r="A292" s="2" t="s">
        <v>28</v>
      </c>
      <c r="B292" s="2" t="s">
        <v>29</v>
      </c>
      <c r="C292" s="2" t="s">
        <v>345</v>
      </c>
      <c r="D292" s="2" t="s">
        <v>346</v>
      </c>
      <c r="E292" s="2" t="s">
        <v>35</v>
      </c>
      <c r="F292" s="2"/>
      <c r="G292" s="2" t="s">
        <v>36</v>
      </c>
      <c r="H292" s="3">
        <v>-147631900</v>
      </c>
      <c r="I292" s="3">
        <v>0</v>
      </c>
      <c r="J292" s="3">
        <v>0</v>
      </c>
      <c r="K292" s="3">
        <v>-147631900</v>
      </c>
      <c r="L292" t="s">
        <v>1071</v>
      </c>
      <c r="M292" t="s">
        <v>1072</v>
      </c>
      <c r="N292" t="s">
        <v>1073</v>
      </c>
      <c r="O292" t="s">
        <v>1074</v>
      </c>
      <c r="P292" t="s">
        <v>1075</v>
      </c>
      <c r="Q292" t="s">
        <v>1076</v>
      </c>
      <c r="R292" t="s">
        <v>1077</v>
      </c>
      <c r="S292" t="s">
        <v>1078</v>
      </c>
      <c r="T292" t="s">
        <v>1079</v>
      </c>
      <c r="U292" t="s">
        <v>1080</v>
      </c>
      <c r="V292" t="s">
        <v>1081</v>
      </c>
      <c r="W292" t="s">
        <v>1082</v>
      </c>
      <c r="X292">
        <v>20240630</v>
      </c>
      <c r="Y292" t="s">
        <v>1083</v>
      </c>
      <c r="Z292" t="s">
        <v>1084</v>
      </c>
      <c r="AA292" s="11" t="str">
        <f t="shared" si="4"/>
        <v>EXEC [dbo].[BalanceGeneralInsertar] @Nivel ='Auxiliar',@Transaccional ='Sí',@CodigoCuentaContable ='21051014', @NombreCuentaContable ='CREDITO 3000009583 05/07/2024',@Identificacion ='890903938',@Sucursal ='',@NombreTercero ='Bancolombia',@SaldoInicial = -147631900,@MovimientoDebito = 0,@MovimientoCredito =0,@SaldoFinal = 0,@Fecha ='20240630',@IdentificacionCliente = '901434038';</v>
      </c>
      <c r="AB292" t="s">
        <v>1085</v>
      </c>
    </row>
    <row r="293" spans="1:28" x14ac:dyDescent="0.25">
      <c r="A293" s="2" t="s">
        <v>19</v>
      </c>
      <c r="B293" s="2" t="s">
        <v>16</v>
      </c>
      <c r="C293" s="2" t="s">
        <v>347</v>
      </c>
      <c r="D293" s="2" t="s">
        <v>348</v>
      </c>
      <c r="E293" s="2"/>
      <c r="F293" s="2"/>
      <c r="G293" s="2"/>
      <c r="H293" s="3" t="s">
        <v>871</v>
      </c>
      <c r="I293" s="3">
        <v>0</v>
      </c>
      <c r="J293" s="3">
        <v>5819100</v>
      </c>
      <c r="K293" s="3" t="s">
        <v>872</v>
      </c>
      <c r="L293" t="s">
        <v>1071</v>
      </c>
      <c r="M293" t="s">
        <v>1072</v>
      </c>
      <c r="N293" t="s">
        <v>1073</v>
      </c>
      <c r="O293" t="s">
        <v>1074</v>
      </c>
      <c r="P293" t="s">
        <v>1075</v>
      </c>
      <c r="Q293" t="s">
        <v>1076</v>
      </c>
      <c r="R293" t="s">
        <v>1077</v>
      </c>
      <c r="S293" t="s">
        <v>1078</v>
      </c>
      <c r="T293" t="s">
        <v>1079</v>
      </c>
      <c r="U293" t="s">
        <v>1080</v>
      </c>
      <c r="V293" t="s">
        <v>1081</v>
      </c>
      <c r="W293" t="s">
        <v>1082</v>
      </c>
      <c r="X293">
        <v>20240630</v>
      </c>
      <c r="Y293" t="s">
        <v>1083</v>
      </c>
      <c r="Z293" t="s">
        <v>1084</v>
      </c>
      <c r="AA293" s="11" t="str">
        <f t="shared" si="4"/>
        <v>EXEC [dbo].[BalanceGeneralInsertar] @Nivel ='Grupo',@Transaccional ='No',@CodigoCuentaContable ='22', @NombreCuentaContable ='Proveedores',@Identificacion ='',@Sucursal ='',@NombreTercero ='',@SaldoInicial = -529992479.74,@MovimientoDebito = 0,@MovimientoCredito =5819100,@SaldoFinal = 5819100,@Fecha ='20240630',@IdentificacionCliente = '901434038';</v>
      </c>
      <c r="AB293" t="s">
        <v>1085</v>
      </c>
    </row>
    <row r="294" spans="1:28" x14ac:dyDescent="0.25">
      <c r="A294" s="2" t="s">
        <v>22</v>
      </c>
      <c r="B294" s="2" t="s">
        <v>16</v>
      </c>
      <c r="C294" s="2" t="s">
        <v>349</v>
      </c>
      <c r="D294" s="2" t="s">
        <v>350</v>
      </c>
      <c r="E294" s="2"/>
      <c r="F294" s="2"/>
      <c r="G294" s="2"/>
      <c r="H294" s="3" t="s">
        <v>871</v>
      </c>
      <c r="I294" s="3">
        <v>0</v>
      </c>
      <c r="J294" s="3">
        <v>5819100</v>
      </c>
      <c r="K294" s="3" t="s">
        <v>872</v>
      </c>
      <c r="L294" t="s">
        <v>1071</v>
      </c>
      <c r="M294" t="s">
        <v>1072</v>
      </c>
      <c r="N294" t="s">
        <v>1073</v>
      </c>
      <c r="O294" t="s">
        <v>1074</v>
      </c>
      <c r="P294" t="s">
        <v>1075</v>
      </c>
      <c r="Q294" t="s">
        <v>1076</v>
      </c>
      <c r="R294" t="s">
        <v>1077</v>
      </c>
      <c r="S294" t="s">
        <v>1078</v>
      </c>
      <c r="T294" t="s">
        <v>1079</v>
      </c>
      <c r="U294" t="s">
        <v>1080</v>
      </c>
      <c r="V294" t="s">
        <v>1081</v>
      </c>
      <c r="W294" t="s">
        <v>1082</v>
      </c>
      <c r="X294">
        <v>20240630</v>
      </c>
      <c r="Y294" t="s">
        <v>1083</v>
      </c>
      <c r="Z294" t="s">
        <v>1084</v>
      </c>
      <c r="AA294" s="11" t="str">
        <f t="shared" si="4"/>
        <v>EXEC [dbo].[BalanceGeneralInsertar] @Nivel ='Cuenta',@Transaccional ='No',@CodigoCuentaContable ='2205', @NombreCuentaContable ='Proveedores nacionales',@Identificacion ='',@Sucursal ='',@NombreTercero ='',@SaldoInicial = -529992479.74,@MovimientoDebito = 0,@MovimientoCredito =5819100,@SaldoFinal = 5819100,@Fecha ='20240630',@IdentificacionCliente = '901434038';</v>
      </c>
      <c r="AB294" t="s">
        <v>1085</v>
      </c>
    </row>
    <row r="295" spans="1:28" x14ac:dyDescent="0.25">
      <c r="A295" s="2" t="s">
        <v>25</v>
      </c>
      <c r="B295" s="2" t="s">
        <v>16</v>
      </c>
      <c r="C295" s="2" t="s">
        <v>351</v>
      </c>
      <c r="D295" s="2" t="s">
        <v>350</v>
      </c>
      <c r="E295" s="2"/>
      <c r="F295" s="2"/>
      <c r="G295" s="2"/>
      <c r="H295" s="3" t="s">
        <v>871</v>
      </c>
      <c r="I295" s="3">
        <v>0</v>
      </c>
      <c r="J295" s="3">
        <v>5819100</v>
      </c>
      <c r="K295" s="3" t="s">
        <v>872</v>
      </c>
      <c r="L295" t="s">
        <v>1071</v>
      </c>
      <c r="M295" t="s">
        <v>1072</v>
      </c>
      <c r="N295" t="s">
        <v>1073</v>
      </c>
      <c r="O295" t="s">
        <v>1074</v>
      </c>
      <c r="P295" t="s">
        <v>1075</v>
      </c>
      <c r="Q295" t="s">
        <v>1076</v>
      </c>
      <c r="R295" t="s">
        <v>1077</v>
      </c>
      <c r="S295" t="s">
        <v>1078</v>
      </c>
      <c r="T295" t="s">
        <v>1079</v>
      </c>
      <c r="U295" t="s">
        <v>1080</v>
      </c>
      <c r="V295" t="s">
        <v>1081</v>
      </c>
      <c r="W295" t="s">
        <v>1082</v>
      </c>
      <c r="X295">
        <v>20240630</v>
      </c>
      <c r="Y295" t="s">
        <v>1083</v>
      </c>
      <c r="Z295" t="s">
        <v>1084</v>
      </c>
      <c r="AA295" s="11" t="str">
        <f t="shared" si="4"/>
        <v>EXEC [dbo].[BalanceGeneralInsertar] @Nivel ='Subcuenta',@Transaccional ='No',@CodigoCuentaContable ='220505', @NombreCuentaContable ='Proveedores nacionales',@Identificacion ='',@Sucursal ='',@NombreTercero ='',@SaldoInicial = -529992479.74,@MovimientoDebito = 0,@MovimientoCredito =5819100,@SaldoFinal = 5819100,@Fecha ='20240630',@IdentificacionCliente = '901434038';</v>
      </c>
      <c r="AB295" t="s">
        <v>1085</v>
      </c>
    </row>
    <row r="296" spans="1:28" x14ac:dyDescent="0.25">
      <c r="A296" s="2" t="s">
        <v>28</v>
      </c>
      <c r="B296" s="2" t="s">
        <v>29</v>
      </c>
      <c r="C296" s="2" t="s">
        <v>352</v>
      </c>
      <c r="D296" s="2" t="s">
        <v>353</v>
      </c>
      <c r="E296" s="2" t="s">
        <v>115</v>
      </c>
      <c r="F296" s="2"/>
      <c r="G296" s="2" t="s">
        <v>116</v>
      </c>
      <c r="H296" s="3" t="s">
        <v>873</v>
      </c>
      <c r="I296" s="3">
        <v>0</v>
      </c>
      <c r="J296" s="3">
        <v>0</v>
      </c>
      <c r="K296" s="3" t="s">
        <v>873</v>
      </c>
      <c r="L296" t="s">
        <v>1071</v>
      </c>
      <c r="M296" t="s">
        <v>1072</v>
      </c>
      <c r="N296" t="s">
        <v>1073</v>
      </c>
      <c r="O296" t="s">
        <v>1074</v>
      </c>
      <c r="P296" t="s">
        <v>1075</v>
      </c>
      <c r="Q296" t="s">
        <v>1076</v>
      </c>
      <c r="R296" t="s">
        <v>1077</v>
      </c>
      <c r="S296" t="s">
        <v>1078</v>
      </c>
      <c r="T296" t="s">
        <v>1079</v>
      </c>
      <c r="U296" t="s">
        <v>1080</v>
      </c>
      <c r="V296" t="s">
        <v>1081</v>
      </c>
      <c r="W296" t="s">
        <v>1082</v>
      </c>
      <c r="X296">
        <v>20240630</v>
      </c>
      <c r="Y296" t="s">
        <v>1083</v>
      </c>
      <c r="Z296" t="s">
        <v>1084</v>
      </c>
      <c r="AA296" s="11" t="str">
        <f t="shared" si="4"/>
        <v>EXEC [dbo].[BalanceGeneralInsertar] @Nivel ='Auxiliar',@Transaccional ='Sí',@CodigoCuentaContable ='22050502', @NombreCuentaContable ='Proveedores Daxa',@Identificacion ='901093584',@Sucursal ='',@NombreTercero ='VITTI S A S',@SaldoInicial = -0.93,@MovimientoDebito = 0,@MovimientoCredito =0,@SaldoFinal = 0,@Fecha ='20240630',@IdentificacionCliente = '901434038';</v>
      </c>
      <c r="AB296" t="s">
        <v>1085</v>
      </c>
    </row>
    <row r="297" spans="1:28" x14ac:dyDescent="0.25">
      <c r="A297" s="2" t="s">
        <v>28</v>
      </c>
      <c r="B297" s="2" t="s">
        <v>29</v>
      </c>
      <c r="C297" s="2" t="s">
        <v>352</v>
      </c>
      <c r="D297" s="2" t="s">
        <v>353</v>
      </c>
      <c r="E297" s="2" t="s">
        <v>99</v>
      </c>
      <c r="F297" s="2"/>
      <c r="G297" s="2" t="s">
        <v>100</v>
      </c>
      <c r="H297" s="3" t="s">
        <v>874</v>
      </c>
      <c r="I297" s="3">
        <v>0</v>
      </c>
      <c r="J297" s="3">
        <v>5819100</v>
      </c>
      <c r="K297" s="3" t="s">
        <v>875</v>
      </c>
      <c r="L297" t="s">
        <v>1071</v>
      </c>
      <c r="M297" t="s">
        <v>1072</v>
      </c>
      <c r="N297" t="s">
        <v>1073</v>
      </c>
      <c r="O297" t="s">
        <v>1074</v>
      </c>
      <c r="P297" t="s">
        <v>1075</v>
      </c>
      <c r="Q297" t="s">
        <v>1076</v>
      </c>
      <c r="R297" t="s">
        <v>1077</v>
      </c>
      <c r="S297" t="s">
        <v>1078</v>
      </c>
      <c r="T297" t="s">
        <v>1079</v>
      </c>
      <c r="U297" t="s">
        <v>1080</v>
      </c>
      <c r="V297" t="s">
        <v>1081</v>
      </c>
      <c r="W297" t="s">
        <v>1082</v>
      </c>
      <c r="X297">
        <v>20240630</v>
      </c>
      <c r="Y297" t="s">
        <v>1083</v>
      </c>
      <c r="Z297" t="s">
        <v>1084</v>
      </c>
      <c r="AA297" s="11" t="str">
        <f t="shared" si="4"/>
        <v>EXEC [dbo].[BalanceGeneralInsertar] @Nivel ='Auxiliar',@Transaccional ='Sí',@CodigoCuentaContable ='22050502', @NombreCuentaContable ='Proveedores Daxa',@Identificacion ='900397663',@Sucursal ='',@NombreTercero ='BTL COLOMBIA SAS',@SaldoInicial = -441043727.81,@MovimientoDebito = 0,@MovimientoCredito =5819100,@SaldoFinal = 5819100,@Fecha ='20240630',@IdentificacionCliente = '901434038';</v>
      </c>
      <c r="AB297" t="s">
        <v>1085</v>
      </c>
    </row>
    <row r="298" spans="1:28" x14ac:dyDescent="0.25">
      <c r="A298" s="2" t="s">
        <v>28</v>
      </c>
      <c r="B298" s="2" t="s">
        <v>29</v>
      </c>
      <c r="C298" s="2" t="s">
        <v>352</v>
      </c>
      <c r="D298" s="2" t="s">
        <v>353</v>
      </c>
      <c r="E298" s="2" t="s">
        <v>69</v>
      </c>
      <c r="F298" s="2"/>
      <c r="G298" s="2" t="s">
        <v>70</v>
      </c>
      <c r="H298" s="3">
        <v>-85114584</v>
      </c>
      <c r="I298" s="3">
        <v>0</v>
      </c>
      <c r="J298" s="3">
        <v>0</v>
      </c>
      <c r="K298" s="3">
        <v>-85114584</v>
      </c>
      <c r="L298" t="s">
        <v>1071</v>
      </c>
      <c r="M298" t="s">
        <v>1072</v>
      </c>
      <c r="N298" t="s">
        <v>1073</v>
      </c>
      <c r="O298" t="s">
        <v>1074</v>
      </c>
      <c r="P298" t="s">
        <v>1075</v>
      </c>
      <c r="Q298" t="s">
        <v>1076</v>
      </c>
      <c r="R298" t="s">
        <v>1077</v>
      </c>
      <c r="S298" t="s">
        <v>1078</v>
      </c>
      <c r="T298" t="s">
        <v>1079</v>
      </c>
      <c r="U298" t="s">
        <v>1080</v>
      </c>
      <c r="V298" t="s">
        <v>1081</v>
      </c>
      <c r="W298" t="s">
        <v>1082</v>
      </c>
      <c r="X298">
        <v>20240630</v>
      </c>
      <c r="Y298" t="s">
        <v>1083</v>
      </c>
      <c r="Z298" t="s">
        <v>1084</v>
      </c>
      <c r="AA298" s="11" t="str">
        <f t="shared" si="4"/>
        <v>EXEC [dbo].[BalanceGeneralInsertar] @Nivel ='Auxiliar',@Transaccional ='Sí',@CodigoCuentaContable ='22050502', @NombreCuentaContable ='Proveedores Daxa',@Identificacion ='900379427',@Sucursal ='',@NombreTercero ='INVERSIONES LAC SAS',@SaldoInicial = -85114584,@MovimientoDebito = 0,@MovimientoCredito =0,@SaldoFinal = 0,@Fecha ='20240630',@IdentificacionCliente = '901434038';</v>
      </c>
      <c r="AB298" t="s">
        <v>1085</v>
      </c>
    </row>
    <row r="299" spans="1:28" x14ac:dyDescent="0.25">
      <c r="A299" s="2" t="s">
        <v>28</v>
      </c>
      <c r="B299" s="2" t="s">
        <v>29</v>
      </c>
      <c r="C299" s="2" t="s">
        <v>352</v>
      </c>
      <c r="D299" s="2" t="s">
        <v>353</v>
      </c>
      <c r="E299" s="2" t="s">
        <v>354</v>
      </c>
      <c r="F299" s="2"/>
      <c r="G299" s="2" t="s">
        <v>355</v>
      </c>
      <c r="H299" s="3">
        <v>-3834167</v>
      </c>
      <c r="I299" s="3">
        <v>0</v>
      </c>
      <c r="J299" s="3">
        <v>0</v>
      </c>
      <c r="K299" s="3">
        <v>-3834167</v>
      </c>
      <c r="L299" t="s">
        <v>1071</v>
      </c>
      <c r="M299" t="s">
        <v>1072</v>
      </c>
      <c r="N299" t="s">
        <v>1073</v>
      </c>
      <c r="O299" t="s">
        <v>1074</v>
      </c>
      <c r="P299" t="s">
        <v>1075</v>
      </c>
      <c r="Q299" t="s">
        <v>1076</v>
      </c>
      <c r="R299" t="s">
        <v>1077</v>
      </c>
      <c r="S299" t="s">
        <v>1078</v>
      </c>
      <c r="T299" t="s">
        <v>1079</v>
      </c>
      <c r="U299" t="s">
        <v>1080</v>
      </c>
      <c r="V299" t="s">
        <v>1081</v>
      </c>
      <c r="W299" t="s">
        <v>1082</v>
      </c>
      <c r="X299">
        <v>20240630</v>
      </c>
      <c r="Y299" t="s">
        <v>1083</v>
      </c>
      <c r="Z299" t="s">
        <v>1084</v>
      </c>
      <c r="AA299" s="11" t="str">
        <f t="shared" si="4"/>
        <v>EXEC [dbo].[BalanceGeneralInsertar] @Nivel ='Auxiliar',@Transaccional ='Sí',@CodigoCuentaContable ='22050502', @NombreCuentaContable ='Proveedores Daxa',@Identificacion ='28613868',@Sucursal ='',@NombreTercero ='ALICIA FERNANDA MURILLO GUZMAN',@SaldoInicial = -3834167,@MovimientoDebito = 0,@MovimientoCredito =0,@SaldoFinal = 0,@Fecha ='20240630',@IdentificacionCliente = '901434038';</v>
      </c>
      <c r="AB299" t="s">
        <v>1085</v>
      </c>
    </row>
    <row r="300" spans="1:28" x14ac:dyDescent="0.25">
      <c r="A300" s="2" t="s">
        <v>19</v>
      </c>
      <c r="B300" s="2" t="s">
        <v>16</v>
      </c>
      <c r="C300" s="2" t="s">
        <v>356</v>
      </c>
      <c r="D300" s="2" t="s">
        <v>357</v>
      </c>
      <c r="E300" s="2"/>
      <c r="F300" s="2"/>
      <c r="G300" s="2"/>
      <c r="H300" s="3" t="s">
        <v>876</v>
      </c>
      <c r="I300" s="3">
        <v>3290900</v>
      </c>
      <c r="J300" s="3">
        <v>4726278</v>
      </c>
      <c r="K300" s="3" t="s">
        <v>877</v>
      </c>
      <c r="L300" t="s">
        <v>1071</v>
      </c>
      <c r="M300" t="s">
        <v>1072</v>
      </c>
      <c r="N300" t="s">
        <v>1073</v>
      </c>
      <c r="O300" t="s">
        <v>1074</v>
      </c>
      <c r="P300" t="s">
        <v>1075</v>
      </c>
      <c r="Q300" t="s">
        <v>1076</v>
      </c>
      <c r="R300" t="s">
        <v>1077</v>
      </c>
      <c r="S300" t="s">
        <v>1078</v>
      </c>
      <c r="T300" t="s">
        <v>1079</v>
      </c>
      <c r="U300" t="s">
        <v>1080</v>
      </c>
      <c r="V300" t="s">
        <v>1081</v>
      </c>
      <c r="W300" t="s">
        <v>1082</v>
      </c>
      <c r="X300">
        <v>20240630</v>
      </c>
      <c r="Y300" t="s">
        <v>1083</v>
      </c>
      <c r="Z300" t="s">
        <v>1084</v>
      </c>
      <c r="AA300" s="11" t="str">
        <f t="shared" si="4"/>
        <v>EXEC [dbo].[BalanceGeneralInsertar] @Nivel ='Grupo',@Transaccional ='No',@CodigoCuentaContable ='23', @NombreCuentaContable ='Acreedores comerciales y otras cuentas por pagar',@Identificacion ='',@Sucursal ='',@NombreTercero ='',@SaldoInicial = 1215103.32,@MovimientoDebito = 3290900,@MovimientoCredito =4726278,@SaldoFinal = 4726278,@Fecha ='20240630',@IdentificacionCliente = '901434038';</v>
      </c>
      <c r="AB300" t="s">
        <v>1085</v>
      </c>
    </row>
    <row r="301" spans="1:28" x14ac:dyDescent="0.25">
      <c r="A301" s="2" t="s">
        <v>22</v>
      </c>
      <c r="B301" s="2" t="s">
        <v>16</v>
      </c>
      <c r="C301" s="2" t="s">
        <v>358</v>
      </c>
      <c r="D301" s="2" t="s">
        <v>359</v>
      </c>
      <c r="E301" s="2"/>
      <c r="F301" s="2"/>
      <c r="G301" s="2"/>
      <c r="H301" s="3" t="s">
        <v>878</v>
      </c>
      <c r="I301" s="3">
        <v>2629900</v>
      </c>
      <c r="J301" s="3">
        <v>4065278</v>
      </c>
      <c r="K301" s="3" t="s">
        <v>879</v>
      </c>
      <c r="L301" t="s">
        <v>1071</v>
      </c>
      <c r="M301" t="s">
        <v>1072</v>
      </c>
      <c r="N301" t="s">
        <v>1073</v>
      </c>
      <c r="O301" t="s">
        <v>1074</v>
      </c>
      <c r="P301" t="s">
        <v>1075</v>
      </c>
      <c r="Q301" t="s">
        <v>1076</v>
      </c>
      <c r="R301" t="s">
        <v>1077</v>
      </c>
      <c r="S301" t="s">
        <v>1078</v>
      </c>
      <c r="T301" t="s">
        <v>1079</v>
      </c>
      <c r="U301" t="s">
        <v>1080</v>
      </c>
      <c r="V301" t="s">
        <v>1081</v>
      </c>
      <c r="W301" t="s">
        <v>1082</v>
      </c>
      <c r="X301">
        <v>20240630</v>
      </c>
      <c r="Y301" t="s">
        <v>1083</v>
      </c>
      <c r="Z301" t="s">
        <v>1084</v>
      </c>
      <c r="AA301" s="11" t="str">
        <f t="shared" si="4"/>
        <v>EXEC [dbo].[BalanceGeneralInsertar] @Nivel ='Cuenta',@Transaccional ='No',@CodigoCuentaContable ='2335', @NombreCuentaContable ='Costos y gastos por pagar',@Identificacion ='',@Sucursal ='',@NombreTercero ='',@SaldoInicial = -120336.33,@MovimientoDebito = 2629900,@MovimientoCredito =4065278,@SaldoFinal = 4065278,@Fecha ='20240630',@IdentificacionCliente = '901434038';</v>
      </c>
      <c r="AB301" t="s">
        <v>1085</v>
      </c>
    </row>
    <row r="302" spans="1:28" x14ac:dyDescent="0.25">
      <c r="A302" s="2" t="s">
        <v>25</v>
      </c>
      <c r="B302" s="2" t="s">
        <v>16</v>
      </c>
      <c r="C302" s="2" t="s">
        <v>360</v>
      </c>
      <c r="D302" s="2" t="s">
        <v>212</v>
      </c>
      <c r="E302" s="2"/>
      <c r="F302" s="2"/>
      <c r="G302" s="2"/>
      <c r="H302" s="3" t="s">
        <v>878</v>
      </c>
      <c r="I302" s="3">
        <v>2629900</v>
      </c>
      <c r="J302" s="3">
        <v>4065278</v>
      </c>
      <c r="K302" s="3" t="s">
        <v>879</v>
      </c>
      <c r="L302" t="s">
        <v>1071</v>
      </c>
      <c r="M302" t="s">
        <v>1072</v>
      </c>
      <c r="N302" t="s">
        <v>1073</v>
      </c>
      <c r="O302" t="s">
        <v>1074</v>
      </c>
      <c r="P302" t="s">
        <v>1075</v>
      </c>
      <c r="Q302" t="s">
        <v>1076</v>
      </c>
      <c r="R302" t="s">
        <v>1077</v>
      </c>
      <c r="S302" t="s">
        <v>1078</v>
      </c>
      <c r="T302" t="s">
        <v>1079</v>
      </c>
      <c r="U302" t="s">
        <v>1080</v>
      </c>
      <c r="V302" t="s">
        <v>1081</v>
      </c>
      <c r="W302" t="s">
        <v>1082</v>
      </c>
      <c r="X302">
        <v>20240630</v>
      </c>
      <c r="Y302" t="s">
        <v>1083</v>
      </c>
      <c r="Z302" t="s">
        <v>1084</v>
      </c>
      <c r="AA302" s="11" t="str">
        <f t="shared" si="4"/>
        <v>EXEC [dbo].[BalanceGeneralInsertar] @Nivel ='Subcuenta',@Transaccional ='No',@CodigoCuentaContable ='233595', @NombreCuentaContable ='Otros',@Identificacion ='',@Sucursal ='',@NombreTercero ='',@SaldoInicial = -120336.33,@MovimientoDebito = 2629900,@MovimientoCredito =4065278,@SaldoFinal = 4065278,@Fecha ='20240630',@IdentificacionCliente = '901434038';</v>
      </c>
      <c r="AB302" t="s">
        <v>1085</v>
      </c>
    </row>
    <row r="303" spans="1:28" x14ac:dyDescent="0.25">
      <c r="A303" s="2" t="s">
        <v>28</v>
      </c>
      <c r="B303" s="2" t="s">
        <v>29</v>
      </c>
      <c r="C303" s="2" t="s">
        <v>361</v>
      </c>
      <c r="D303" s="2" t="s">
        <v>212</v>
      </c>
      <c r="E303" s="2" t="s">
        <v>117</v>
      </c>
      <c r="F303" s="2"/>
      <c r="G303" s="2" t="s">
        <v>118</v>
      </c>
      <c r="H303" s="3">
        <v>-40810</v>
      </c>
      <c r="I303" s="3">
        <v>0</v>
      </c>
      <c r="J303" s="3">
        <v>0</v>
      </c>
      <c r="K303" s="3">
        <v>-40810</v>
      </c>
      <c r="L303" t="s">
        <v>1071</v>
      </c>
      <c r="M303" t="s">
        <v>1072</v>
      </c>
      <c r="N303" t="s">
        <v>1073</v>
      </c>
      <c r="O303" t="s">
        <v>1074</v>
      </c>
      <c r="P303" t="s">
        <v>1075</v>
      </c>
      <c r="Q303" t="s">
        <v>1076</v>
      </c>
      <c r="R303" t="s">
        <v>1077</v>
      </c>
      <c r="S303" t="s">
        <v>1078</v>
      </c>
      <c r="T303" t="s">
        <v>1079</v>
      </c>
      <c r="U303" t="s">
        <v>1080</v>
      </c>
      <c r="V303" t="s">
        <v>1081</v>
      </c>
      <c r="W303" t="s">
        <v>1082</v>
      </c>
      <c r="X303">
        <v>20240630</v>
      </c>
      <c r="Y303" t="s">
        <v>1083</v>
      </c>
      <c r="Z303" t="s">
        <v>1084</v>
      </c>
      <c r="AA303" s="11" t="str">
        <f t="shared" si="4"/>
        <v>EXEC [dbo].[BalanceGeneralInsertar] @Nivel ='Auxiliar',@Transaccional ='Sí',@CodigoCuentaContable ='23359501', @NombreCuentaContable ='Otros',@Identificacion ='830048145',@Sucursal ='',@NombreTercero ='SIIGO S.A.S',@SaldoInicial = -40810,@MovimientoDebito = 0,@MovimientoCredito =0,@SaldoFinal = 0,@Fecha ='20240630',@IdentificacionCliente = '901434038';</v>
      </c>
      <c r="AB303" t="s">
        <v>1085</v>
      </c>
    </row>
    <row r="304" spans="1:28" x14ac:dyDescent="0.25">
      <c r="A304" s="2" t="s">
        <v>28</v>
      </c>
      <c r="B304" s="2" t="s">
        <v>29</v>
      </c>
      <c r="C304" s="2" t="s">
        <v>361</v>
      </c>
      <c r="D304" s="2" t="s">
        <v>212</v>
      </c>
      <c r="E304" s="2" t="s">
        <v>99</v>
      </c>
      <c r="F304" s="2"/>
      <c r="G304" s="2" t="s">
        <v>100</v>
      </c>
      <c r="H304" s="3" t="s">
        <v>880</v>
      </c>
      <c r="I304" s="3">
        <v>0</v>
      </c>
      <c r="J304" s="3">
        <v>0</v>
      </c>
      <c r="K304" s="3" t="s">
        <v>880</v>
      </c>
      <c r="L304" t="s">
        <v>1071</v>
      </c>
      <c r="M304" t="s">
        <v>1072</v>
      </c>
      <c r="N304" t="s">
        <v>1073</v>
      </c>
      <c r="O304" t="s">
        <v>1074</v>
      </c>
      <c r="P304" t="s">
        <v>1075</v>
      </c>
      <c r="Q304" t="s">
        <v>1076</v>
      </c>
      <c r="R304" t="s">
        <v>1077</v>
      </c>
      <c r="S304" t="s">
        <v>1078</v>
      </c>
      <c r="T304" t="s">
        <v>1079</v>
      </c>
      <c r="U304" t="s">
        <v>1080</v>
      </c>
      <c r="V304" t="s">
        <v>1081</v>
      </c>
      <c r="W304" t="s">
        <v>1082</v>
      </c>
      <c r="X304">
        <v>20240630</v>
      </c>
      <c r="Y304" t="s">
        <v>1083</v>
      </c>
      <c r="Z304" t="s">
        <v>1084</v>
      </c>
      <c r="AA304" s="11" t="str">
        <f t="shared" si="4"/>
        <v>EXEC [dbo].[BalanceGeneralInsertar] @Nivel ='Auxiliar',@Transaccional ='Sí',@CodigoCuentaContable ='23359501', @NombreCuentaContable ='Otros',@Identificacion ='900397663',@Sucursal ='',@NombreTercero ='BTL COLOMBIA SAS',@SaldoInicial = 0.47,@MovimientoDebito = 0,@MovimientoCredito =0,@SaldoFinal = 0,@Fecha ='20240630',@IdentificacionCliente = '901434038';</v>
      </c>
      <c r="AB304" t="s">
        <v>1085</v>
      </c>
    </row>
    <row r="305" spans="1:28" x14ac:dyDescent="0.25">
      <c r="A305" s="2" t="s">
        <v>28</v>
      </c>
      <c r="B305" s="2" t="s">
        <v>29</v>
      </c>
      <c r="C305" s="2" t="s">
        <v>361</v>
      </c>
      <c r="D305" s="2" t="s">
        <v>212</v>
      </c>
      <c r="E305" s="2" t="s">
        <v>65</v>
      </c>
      <c r="F305" s="2"/>
      <c r="G305" s="2" t="s">
        <v>66</v>
      </c>
      <c r="H305" s="3" t="s">
        <v>881</v>
      </c>
      <c r="I305" s="3">
        <v>0</v>
      </c>
      <c r="J305" s="3">
        <v>0</v>
      </c>
      <c r="K305" s="3" t="s">
        <v>881</v>
      </c>
      <c r="L305" t="s">
        <v>1071</v>
      </c>
      <c r="M305" t="s">
        <v>1072</v>
      </c>
      <c r="N305" t="s">
        <v>1073</v>
      </c>
      <c r="O305" t="s">
        <v>1074</v>
      </c>
      <c r="P305" t="s">
        <v>1075</v>
      </c>
      <c r="Q305" t="s">
        <v>1076</v>
      </c>
      <c r="R305" t="s">
        <v>1077</v>
      </c>
      <c r="S305" t="s">
        <v>1078</v>
      </c>
      <c r="T305" t="s">
        <v>1079</v>
      </c>
      <c r="U305" t="s">
        <v>1080</v>
      </c>
      <c r="V305" t="s">
        <v>1081</v>
      </c>
      <c r="W305" t="s">
        <v>1082</v>
      </c>
      <c r="X305">
        <v>20240630</v>
      </c>
      <c r="Y305" t="s">
        <v>1083</v>
      </c>
      <c r="Z305" t="s">
        <v>1084</v>
      </c>
      <c r="AA305" s="11" t="str">
        <f t="shared" si="4"/>
        <v>EXEC [dbo].[BalanceGeneralInsertar] @Nivel ='Auxiliar',@Transaccional ='Sí',@CodigoCuentaContable ='23359501', @NombreCuentaContable ='Otros',@Identificacion ='900889468',@Sucursal ='',@NombreTercero ='PALMA DE WEB SAS',@SaldoInicial = -27999.3,@MovimientoDebito = 0,@MovimientoCredito =0,@SaldoFinal = 0,@Fecha ='20240630',@IdentificacionCliente = '901434038';</v>
      </c>
      <c r="AB305" t="s">
        <v>1085</v>
      </c>
    </row>
    <row r="306" spans="1:28" x14ac:dyDescent="0.25">
      <c r="A306" s="2" t="s">
        <v>28</v>
      </c>
      <c r="B306" s="2" t="s">
        <v>29</v>
      </c>
      <c r="C306" s="2" t="s">
        <v>362</v>
      </c>
      <c r="D306" s="2" t="s">
        <v>363</v>
      </c>
      <c r="E306" s="2" t="s">
        <v>31</v>
      </c>
      <c r="F306" s="2"/>
      <c r="G306" s="2" t="s">
        <v>32</v>
      </c>
      <c r="H306" s="3">
        <v>-7200</v>
      </c>
      <c r="I306" s="3">
        <v>0</v>
      </c>
      <c r="J306" s="3">
        <v>0</v>
      </c>
      <c r="K306" s="3">
        <v>-7200</v>
      </c>
      <c r="L306" t="s">
        <v>1071</v>
      </c>
      <c r="M306" t="s">
        <v>1072</v>
      </c>
      <c r="N306" t="s">
        <v>1073</v>
      </c>
      <c r="O306" t="s">
        <v>1074</v>
      </c>
      <c r="P306" t="s">
        <v>1075</v>
      </c>
      <c r="Q306" t="s">
        <v>1076</v>
      </c>
      <c r="R306" t="s">
        <v>1077</v>
      </c>
      <c r="S306" t="s">
        <v>1078</v>
      </c>
      <c r="T306" t="s">
        <v>1079</v>
      </c>
      <c r="U306" t="s">
        <v>1080</v>
      </c>
      <c r="V306" t="s">
        <v>1081</v>
      </c>
      <c r="W306" t="s">
        <v>1082</v>
      </c>
      <c r="X306">
        <v>20240630</v>
      </c>
      <c r="Y306" t="s">
        <v>1083</v>
      </c>
      <c r="Z306" t="s">
        <v>1084</v>
      </c>
      <c r="AA306" s="11" t="str">
        <f t="shared" si="4"/>
        <v>EXEC [dbo].[BalanceGeneralInsertar] @Nivel ='Auxiliar',@Transaccional ='Sí',@CodigoCuentaContable ='23359502', @NombreCuentaContable ='Cuentas por pagar Daxa',@Identificacion ='860007322',@Sucursal ='',@NombreTercero ='Camara de comercio de bogota',@SaldoInicial = -7200,@MovimientoDebito = 0,@MovimientoCredito =0,@SaldoFinal = 0,@Fecha ='20240630',@IdentificacionCliente = '901434038';</v>
      </c>
      <c r="AB306" t="s">
        <v>1085</v>
      </c>
    </row>
    <row r="307" spans="1:28" x14ac:dyDescent="0.25">
      <c r="A307" s="2" t="s">
        <v>28</v>
      </c>
      <c r="B307" s="2" t="s">
        <v>29</v>
      </c>
      <c r="C307" s="2" t="s">
        <v>362</v>
      </c>
      <c r="D307" s="2" t="s">
        <v>363</v>
      </c>
      <c r="E307" s="2" t="s">
        <v>113</v>
      </c>
      <c r="F307" s="2"/>
      <c r="G307" s="2" t="s">
        <v>114</v>
      </c>
      <c r="H307" s="3">
        <v>0</v>
      </c>
      <c r="I307" s="3">
        <v>0</v>
      </c>
      <c r="J307" s="3">
        <v>1428000</v>
      </c>
      <c r="K307" s="3">
        <v>-1428000</v>
      </c>
      <c r="L307" t="s">
        <v>1071</v>
      </c>
      <c r="M307" t="s">
        <v>1072</v>
      </c>
      <c r="N307" t="s">
        <v>1073</v>
      </c>
      <c r="O307" t="s">
        <v>1074</v>
      </c>
      <c r="P307" t="s">
        <v>1075</v>
      </c>
      <c r="Q307" t="s">
        <v>1076</v>
      </c>
      <c r="R307" t="s">
        <v>1077</v>
      </c>
      <c r="S307" t="s">
        <v>1078</v>
      </c>
      <c r="T307" t="s">
        <v>1079</v>
      </c>
      <c r="U307" t="s">
        <v>1080</v>
      </c>
      <c r="V307" t="s">
        <v>1081</v>
      </c>
      <c r="W307" t="s">
        <v>1082</v>
      </c>
      <c r="X307">
        <v>20240630</v>
      </c>
      <c r="Y307" t="s">
        <v>1083</v>
      </c>
      <c r="Z307" t="s">
        <v>1084</v>
      </c>
      <c r="AA307" s="11" t="str">
        <f t="shared" si="4"/>
        <v>EXEC [dbo].[BalanceGeneralInsertar] @Nivel ='Auxiliar',@Transaccional ='Sí',@CodigoCuentaContable ='23359502', @NombreCuentaContable ='Cuentas por pagar Daxa',@Identificacion ='901398776',@Sucursal ='',@NombreTercero ='SERVICIOS FINANCIEROS OPERATIVOS FINANCIEROS SAS',@SaldoInicial = 0,@MovimientoDebito = 0,@MovimientoCredito =1428000,@SaldoFinal = 1428000,@Fecha ='20240630',@IdentificacionCliente = '901434038';</v>
      </c>
      <c r="AB307" t="s">
        <v>1085</v>
      </c>
    </row>
    <row r="308" spans="1:28" x14ac:dyDescent="0.25">
      <c r="A308" s="2" t="s">
        <v>28</v>
      </c>
      <c r="B308" s="2" t="s">
        <v>29</v>
      </c>
      <c r="C308" s="2" t="s">
        <v>362</v>
      </c>
      <c r="D308" s="2" t="s">
        <v>363</v>
      </c>
      <c r="E308" s="2" t="s">
        <v>87</v>
      </c>
      <c r="F308" s="2"/>
      <c r="G308" s="2" t="s">
        <v>88</v>
      </c>
      <c r="H308" s="3">
        <v>0</v>
      </c>
      <c r="I308" s="3">
        <v>2629900</v>
      </c>
      <c r="J308" s="3">
        <v>2629900</v>
      </c>
      <c r="K308" s="3">
        <v>0</v>
      </c>
      <c r="L308" t="s">
        <v>1071</v>
      </c>
      <c r="M308" t="s">
        <v>1072</v>
      </c>
      <c r="N308" t="s">
        <v>1073</v>
      </c>
      <c r="O308" t="s">
        <v>1074</v>
      </c>
      <c r="P308" t="s">
        <v>1075</v>
      </c>
      <c r="Q308" t="s">
        <v>1076</v>
      </c>
      <c r="R308" t="s">
        <v>1077</v>
      </c>
      <c r="S308" t="s">
        <v>1078</v>
      </c>
      <c r="T308" t="s">
        <v>1079</v>
      </c>
      <c r="U308" t="s">
        <v>1080</v>
      </c>
      <c r="V308" t="s">
        <v>1081</v>
      </c>
      <c r="W308" t="s">
        <v>1082</v>
      </c>
      <c r="X308">
        <v>20240630</v>
      </c>
      <c r="Y308" t="s">
        <v>1083</v>
      </c>
      <c r="Z308" t="s">
        <v>1084</v>
      </c>
      <c r="AA308" s="11" t="str">
        <f t="shared" si="4"/>
        <v>EXEC [dbo].[BalanceGeneralInsertar] @Nivel ='Auxiliar',@Transaccional ='Sí',@CodigoCuentaContable ='23359502', @NombreCuentaContable ='Cuentas por pagar Daxa',@Identificacion ='830054539',@Sucursal ='',@NombreTercero ='FIDUCIARIA BANCOLOMBIA S.A',@SaldoInicial = 0,@MovimientoDebito = 2629900,@MovimientoCredito =2629900,@SaldoFinal = 2629900,@Fecha ='20240630',@IdentificacionCliente = '901434038';</v>
      </c>
      <c r="AB308" t="s">
        <v>1085</v>
      </c>
    </row>
    <row r="309" spans="1:28" x14ac:dyDescent="0.25">
      <c r="A309" s="2" t="s">
        <v>28</v>
      </c>
      <c r="B309" s="2" t="s">
        <v>29</v>
      </c>
      <c r="C309" s="2" t="s">
        <v>362</v>
      </c>
      <c r="D309" s="2" t="s">
        <v>363</v>
      </c>
      <c r="E309" s="2" t="s">
        <v>364</v>
      </c>
      <c r="F309" s="2"/>
      <c r="G309" s="2" t="s">
        <v>365</v>
      </c>
      <c r="H309" s="3" t="s">
        <v>882</v>
      </c>
      <c r="I309" s="3">
        <v>0</v>
      </c>
      <c r="J309" s="3">
        <v>7378</v>
      </c>
      <c r="K309" s="3" t="s">
        <v>883</v>
      </c>
      <c r="L309" t="s">
        <v>1071</v>
      </c>
      <c r="M309" t="s">
        <v>1072</v>
      </c>
      <c r="N309" t="s">
        <v>1073</v>
      </c>
      <c r="O309" t="s">
        <v>1074</v>
      </c>
      <c r="P309" t="s">
        <v>1075</v>
      </c>
      <c r="Q309" t="s">
        <v>1076</v>
      </c>
      <c r="R309" t="s">
        <v>1077</v>
      </c>
      <c r="S309" t="s">
        <v>1078</v>
      </c>
      <c r="T309" t="s">
        <v>1079</v>
      </c>
      <c r="U309" t="s">
        <v>1080</v>
      </c>
      <c r="V309" t="s">
        <v>1081</v>
      </c>
      <c r="W309" t="s">
        <v>1082</v>
      </c>
      <c r="X309">
        <v>20240630</v>
      </c>
      <c r="Y309" t="s">
        <v>1083</v>
      </c>
      <c r="Z309" t="s">
        <v>1084</v>
      </c>
      <c r="AA309" s="11" t="str">
        <f t="shared" si="4"/>
        <v>EXEC [dbo].[BalanceGeneralInsertar] @Nivel ='Auxiliar',@Transaccional ='Sí',@CodigoCuentaContable ='23359502', @NombreCuentaContable ='Cuentas por pagar Daxa',@Identificacion ='901330185',@Sucursal ='',@NombreTercero ='OPENPAY COLOMBIA S.A.S',@SaldoInicial = -44327.5,@MovimientoDebito = 0,@MovimientoCredito =7378,@SaldoFinal = 7378,@Fecha ='20240630',@IdentificacionCliente = '901434038';</v>
      </c>
      <c r="AB309" t="s">
        <v>1085</v>
      </c>
    </row>
    <row r="310" spans="1:28" x14ac:dyDescent="0.25">
      <c r="A310" s="2" t="s">
        <v>22</v>
      </c>
      <c r="B310" s="2" t="s">
        <v>16</v>
      </c>
      <c r="C310" s="2" t="s">
        <v>366</v>
      </c>
      <c r="D310" s="2" t="s">
        <v>367</v>
      </c>
      <c r="E310" s="2"/>
      <c r="F310" s="2"/>
      <c r="G310" s="2"/>
      <c r="H310" s="3" t="s">
        <v>884</v>
      </c>
      <c r="I310" s="3">
        <v>0</v>
      </c>
      <c r="J310" s="3">
        <v>0</v>
      </c>
      <c r="K310" s="3" t="s">
        <v>884</v>
      </c>
      <c r="L310" t="s">
        <v>1071</v>
      </c>
      <c r="M310" t="s">
        <v>1072</v>
      </c>
      <c r="N310" t="s">
        <v>1073</v>
      </c>
      <c r="O310" t="s">
        <v>1074</v>
      </c>
      <c r="P310" t="s">
        <v>1075</v>
      </c>
      <c r="Q310" t="s">
        <v>1076</v>
      </c>
      <c r="R310" t="s">
        <v>1077</v>
      </c>
      <c r="S310" t="s">
        <v>1078</v>
      </c>
      <c r="T310" t="s">
        <v>1079</v>
      </c>
      <c r="U310" t="s">
        <v>1080</v>
      </c>
      <c r="V310" t="s">
        <v>1081</v>
      </c>
      <c r="W310" t="s">
        <v>1082</v>
      </c>
      <c r="X310">
        <v>20240630</v>
      </c>
      <c r="Y310" t="s">
        <v>1083</v>
      </c>
      <c r="Z310" t="s">
        <v>1084</v>
      </c>
      <c r="AA310" s="11" t="str">
        <f t="shared" si="4"/>
        <v>EXEC [dbo].[BalanceGeneralInsertar] @Nivel ='Cuenta',@Transaccional ='No',@CodigoCuentaContable ='2365', @NombreCuentaContable ='Retenciones en la fuente',@Identificacion ='',@Sucursal ='',@NombreTercero ='',@SaldoInicial = 2.85,@MovimientoDebito = 0,@MovimientoCredito =0,@SaldoFinal = 0,@Fecha ='20240630',@IdentificacionCliente = '901434038';</v>
      </c>
      <c r="AB310" t="s">
        <v>1085</v>
      </c>
    </row>
    <row r="311" spans="1:28" x14ac:dyDescent="0.25">
      <c r="A311" s="2" t="s">
        <v>25</v>
      </c>
      <c r="B311" s="2" t="s">
        <v>16</v>
      </c>
      <c r="C311" s="2" t="s">
        <v>368</v>
      </c>
      <c r="D311" s="2" t="s">
        <v>369</v>
      </c>
      <c r="E311" s="2"/>
      <c r="F311" s="2"/>
      <c r="G311" s="2"/>
      <c r="H311" s="3">
        <v>0</v>
      </c>
      <c r="I311" s="3">
        <v>0</v>
      </c>
      <c r="J311" s="3">
        <v>0</v>
      </c>
      <c r="K311" s="3">
        <v>0</v>
      </c>
      <c r="L311" t="s">
        <v>1071</v>
      </c>
      <c r="M311" t="s">
        <v>1072</v>
      </c>
      <c r="N311" t="s">
        <v>1073</v>
      </c>
      <c r="O311" t="s">
        <v>1074</v>
      </c>
      <c r="P311" t="s">
        <v>1075</v>
      </c>
      <c r="Q311" t="s">
        <v>1076</v>
      </c>
      <c r="R311" t="s">
        <v>1077</v>
      </c>
      <c r="S311" t="s">
        <v>1078</v>
      </c>
      <c r="T311" t="s">
        <v>1079</v>
      </c>
      <c r="U311" t="s">
        <v>1080</v>
      </c>
      <c r="V311" t="s">
        <v>1081</v>
      </c>
      <c r="W311" t="s">
        <v>1082</v>
      </c>
      <c r="X311">
        <v>20240630</v>
      </c>
      <c r="Y311" t="s">
        <v>1083</v>
      </c>
      <c r="Z311" t="s">
        <v>1084</v>
      </c>
      <c r="AA311" s="11" t="str">
        <f t="shared" si="4"/>
        <v>EXEC [dbo].[BalanceGeneralInsertar] @Nivel ='Subcuenta',@Transaccional ='No',@CodigoCuentaContable ='236505', @NombreCuentaContable ='Salarios y pagos laborales',@Identificacion ='',@Sucursal ='',@NombreTercero ='',@SaldoInicial = 0,@MovimientoDebito = 0,@MovimientoCredito =0,@SaldoFinal = 0,@Fecha ='20240630',@IdentificacionCliente = '901434038';</v>
      </c>
      <c r="AB311" t="s">
        <v>1085</v>
      </c>
    </row>
    <row r="312" spans="1:28" x14ac:dyDescent="0.25">
      <c r="A312" s="2" t="s">
        <v>28</v>
      </c>
      <c r="B312" s="2" t="s">
        <v>29</v>
      </c>
      <c r="C312" s="2" t="s">
        <v>370</v>
      </c>
      <c r="D312" s="2" t="s">
        <v>369</v>
      </c>
      <c r="E312" s="2" t="s">
        <v>39</v>
      </c>
      <c r="F312" s="2"/>
      <c r="G312" s="2" t="s">
        <v>40</v>
      </c>
      <c r="H312" s="3">
        <v>4001000</v>
      </c>
      <c r="I312" s="3">
        <v>0</v>
      </c>
      <c r="J312" s="3">
        <v>0</v>
      </c>
      <c r="K312" s="3">
        <v>4001000</v>
      </c>
      <c r="L312" t="s">
        <v>1071</v>
      </c>
      <c r="M312" t="s">
        <v>1072</v>
      </c>
      <c r="N312" t="s">
        <v>1073</v>
      </c>
      <c r="O312" t="s">
        <v>1074</v>
      </c>
      <c r="P312" t="s">
        <v>1075</v>
      </c>
      <c r="Q312" t="s">
        <v>1076</v>
      </c>
      <c r="R312" t="s">
        <v>1077</v>
      </c>
      <c r="S312" t="s">
        <v>1078</v>
      </c>
      <c r="T312" t="s">
        <v>1079</v>
      </c>
      <c r="U312" t="s">
        <v>1080</v>
      </c>
      <c r="V312" t="s">
        <v>1081</v>
      </c>
      <c r="W312" t="s">
        <v>1082</v>
      </c>
      <c r="X312">
        <v>20240630</v>
      </c>
      <c r="Y312" t="s">
        <v>1083</v>
      </c>
      <c r="Z312" t="s">
        <v>1084</v>
      </c>
      <c r="AA312" s="11" t="str">
        <f t="shared" si="4"/>
        <v>EXEC [dbo].[BalanceGeneralInsertar] @Nivel ='Auxiliar',@Transaccional ='Sí',@CodigoCuentaContable ='23650501', @NombreCuentaContable ='Salarios y pagos laborales',@Identificacion ='800197268',@Sucursal ='',@NombreTercero ='DIAN',@SaldoInicial = 4001000,@MovimientoDebito = 0,@MovimientoCredito =0,@SaldoFinal = 0,@Fecha ='20240630',@IdentificacionCliente = '901434038';</v>
      </c>
      <c r="AB312" t="s">
        <v>1085</v>
      </c>
    </row>
    <row r="313" spans="1:28" x14ac:dyDescent="0.25">
      <c r="A313" s="2" t="s">
        <v>28</v>
      </c>
      <c r="B313" s="2" t="s">
        <v>29</v>
      </c>
      <c r="C313" s="2" t="s">
        <v>370</v>
      </c>
      <c r="D313" s="2" t="s">
        <v>369</v>
      </c>
      <c r="E313" s="2" t="s">
        <v>119</v>
      </c>
      <c r="F313" s="2"/>
      <c r="G313" s="2" t="s">
        <v>120</v>
      </c>
      <c r="H313" s="3">
        <v>-4001000</v>
      </c>
      <c r="I313" s="3">
        <v>0</v>
      </c>
      <c r="J313" s="3">
        <v>0</v>
      </c>
      <c r="K313" s="3">
        <v>-4001000</v>
      </c>
      <c r="L313" t="s">
        <v>1071</v>
      </c>
      <c r="M313" t="s">
        <v>1072</v>
      </c>
      <c r="N313" t="s">
        <v>1073</v>
      </c>
      <c r="O313" t="s">
        <v>1074</v>
      </c>
      <c r="P313" t="s">
        <v>1075</v>
      </c>
      <c r="Q313" t="s">
        <v>1076</v>
      </c>
      <c r="R313" t="s">
        <v>1077</v>
      </c>
      <c r="S313" t="s">
        <v>1078</v>
      </c>
      <c r="T313" t="s">
        <v>1079</v>
      </c>
      <c r="U313" t="s">
        <v>1080</v>
      </c>
      <c r="V313" t="s">
        <v>1081</v>
      </c>
      <c r="W313" t="s">
        <v>1082</v>
      </c>
      <c r="X313">
        <v>20240630</v>
      </c>
      <c r="Y313" t="s">
        <v>1083</v>
      </c>
      <c r="Z313" t="s">
        <v>1084</v>
      </c>
      <c r="AA313" s="11" t="str">
        <f t="shared" si="4"/>
        <v>EXEC [dbo].[BalanceGeneralInsertar] @Nivel ='Auxiliar',@Transaccional ='Sí',@CodigoCuentaContable ='23650501', @NombreCuentaContable ='Salarios y pagos laborales',@Identificacion ='80196373',@Sucursal ='',@NombreTercero ='JUAN FERNANDO DURAN LOPEZ',@SaldoInicial = -4001000,@MovimientoDebito = 0,@MovimientoCredito =0,@SaldoFinal = 0,@Fecha ='20240630',@IdentificacionCliente = '901434038';</v>
      </c>
      <c r="AB313" t="s">
        <v>1085</v>
      </c>
    </row>
    <row r="314" spans="1:28" x14ac:dyDescent="0.25">
      <c r="A314" s="2" t="s">
        <v>25</v>
      </c>
      <c r="B314" s="2" t="s">
        <v>16</v>
      </c>
      <c r="C314" s="2" t="s">
        <v>371</v>
      </c>
      <c r="D314" s="2" t="s">
        <v>372</v>
      </c>
      <c r="E314" s="2"/>
      <c r="F314" s="2"/>
      <c r="G314" s="2"/>
      <c r="H314" s="3">
        <v>0</v>
      </c>
      <c r="I314" s="3">
        <v>0</v>
      </c>
      <c r="J314" s="3">
        <v>0</v>
      </c>
      <c r="K314" s="3">
        <v>0</v>
      </c>
      <c r="L314" t="s">
        <v>1071</v>
      </c>
      <c r="M314" t="s">
        <v>1072</v>
      </c>
      <c r="N314" t="s">
        <v>1073</v>
      </c>
      <c r="O314" t="s">
        <v>1074</v>
      </c>
      <c r="P314" t="s">
        <v>1075</v>
      </c>
      <c r="Q314" t="s">
        <v>1076</v>
      </c>
      <c r="R314" t="s">
        <v>1077</v>
      </c>
      <c r="S314" t="s">
        <v>1078</v>
      </c>
      <c r="T314" t="s">
        <v>1079</v>
      </c>
      <c r="U314" t="s">
        <v>1080</v>
      </c>
      <c r="V314" t="s">
        <v>1081</v>
      </c>
      <c r="W314" t="s">
        <v>1082</v>
      </c>
      <c r="X314">
        <v>20240630</v>
      </c>
      <c r="Y314" t="s">
        <v>1083</v>
      </c>
      <c r="Z314" t="s">
        <v>1084</v>
      </c>
      <c r="AA314" s="11" t="str">
        <f t="shared" si="4"/>
        <v>EXEC [dbo].[BalanceGeneralInsertar] @Nivel ='Subcuenta',@Transaccional ='No',@CodigoCuentaContable ='236515', @NombreCuentaContable ='Honorarios',@Identificacion ='',@Sucursal ='',@NombreTercero ='',@SaldoInicial = 0,@MovimientoDebito = 0,@MovimientoCredito =0,@SaldoFinal = 0,@Fecha ='20240630',@IdentificacionCliente = '901434038';</v>
      </c>
      <c r="AB314" t="s">
        <v>1085</v>
      </c>
    </row>
    <row r="315" spans="1:28" x14ac:dyDescent="0.25">
      <c r="A315" s="2" t="s">
        <v>28</v>
      </c>
      <c r="B315" s="2" t="s">
        <v>29</v>
      </c>
      <c r="C315" s="2" t="s">
        <v>373</v>
      </c>
      <c r="D315" s="2" t="s">
        <v>372</v>
      </c>
      <c r="E315" s="2" t="s">
        <v>39</v>
      </c>
      <c r="F315" s="2"/>
      <c r="G315" s="2" t="s">
        <v>40</v>
      </c>
      <c r="H315" s="3">
        <v>1716000</v>
      </c>
      <c r="I315" s="3">
        <v>0</v>
      </c>
      <c r="J315" s="3">
        <v>0</v>
      </c>
      <c r="K315" s="3">
        <v>1716000</v>
      </c>
      <c r="L315" t="s">
        <v>1071</v>
      </c>
      <c r="M315" t="s">
        <v>1072</v>
      </c>
      <c r="N315" t="s">
        <v>1073</v>
      </c>
      <c r="O315" t="s">
        <v>1074</v>
      </c>
      <c r="P315" t="s">
        <v>1075</v>
      </c>
      <c r="Q315" t="s">
        <v>1076</v>
      </c>
      <c r="R315" t="s">
        <v>1077</v>
      </c>
      <c r="S315" t="s">
        <v>1078</v>
      </c>
      <c r="T315" t="s">
        <v>1079</v>
      </c>
      <c r="U315" t="s">
        <v>1080</v>
      </c>
      <c r="V315" t="s">
        <v>1081</v>
      </c>
      <c r="W315" t="s">
        <v>1082</v>
      </c>
      <c r="X315">
        <v>20240630</v>
      </c>
      <c r="Y315" t="s">
        <v>1083</v>
      </c>
      <c r="Z315" t="s">
        <v>1084</v>
      </c>
      <c r="AA315" s="11" t="str">
        <f t="shared" si="4"/>
        <v>EXEC [dbo].[BalanceGeneralInsertar] @Nivel ='Auxiliar',@Transaccional ='Sí',@CodigoCuentaContable ='23651501', @NombreCuentaContable ='Honorarios',@Identificacion ='800197268',@Sucursal ='',@NombreTercero ='DIAN',@SaldoInicial = 1716000,@MovimientoDebito = 0,@MovimientoCredito =0,@SaldoFinal = 0,@Fecha ='20240630',@IdentificacionCliente = '901434038';</v>
      </c>
      <c r="AB315" t="s">
        <v>1085</v>
      </c>
    </row>
    <row r="316" spans="1:28" x14ac:dyDescent="0.25">
      <c r="A316" s="2" t="s">
        <v>28</v>
      </c>
      <c r="B316" s="2" t="s">
        <v>29</v>
      </c>
      <c r="C316" s="2" t="s">
        <v>373</v>
      </c>
      <c r="D316" s="2" t="s">
        <v>372</v>
      </c>
      <c r="E316" s="2" t="s">
        <v>113</v>
      </c>
      <c r="F316" s="2"/>
      <c r="G316" s="2" t="s">
        <v>114</v>
      </c>
      <c r="H316" s="3">
        <v>-1716000</v>
      </c>
      <c r="I316" s="3">
        <v>0</v>
      </c>
      <c r="J316" s="3">
        <v>0</v>
      </c>
      <c r="K316" s="3">
        <v>-1716000</v>
      </c>
      <c r="L316" t="s">
        <v>1071</v>
      </c>
      <c r="M316" t="s">
        <v>1072</v>
      </c>
      <c r="N316" t="s">
        <v>1073</v>
      </c>
      <c r="O316" t="s">
        <v>1074</v>
      </c>
      <c r="P316" t="s">
        <v>1075</v>
      </c>
      <c r="Q316" t="s">
        <v>1076</v>
      </c>
      <c r="R316" t="s">
        <v>1077</v>
      </c>
      <c r="S316" t="s">
        <v>1078</v>
      </c>
      <c r="T316" t="s">
        <v>1079</v>
      </c>
      <c r="U316" t="s">
        <v>1080</v>
      </c>
      <c r="V316" t="s">
        <v>1081</v>
      </c>
      <c r="W316" t="s">
        <v>1082</v>
      </c>
      <c r="X316">
        <v>20240630</v>
      </c>
      <c r="Y316" t="s">
        <v>1083</v>
      </c>
      <c r="Z316" t="s">
        <v>1084</v>
      </c>
      <c r="AA316" s="11" t="str">
        <f t="shared" si="4"/>
        <v>EXEC [dbo].[BalanceGeneralInsertar] @Nivel ='Auxiliar',@Transaccional ='Sí',@CodigoCuentaContable ='23651501', @NombreCuentaContable ='Honorarios',@Identificacion ='901398776',@Sucursal ='',@NombreTercero ='SERVICIOS FINANCIEROS OPERATIVOS FINANCIEROS SAS',@SaldoInicial = -1716000,@MovimientoDebito = 0,@MovimientoCredito =0,@SaldoFinal = 0,@Fecha ='20240630',@IdentificacionCliente = '901434038';</v>
      </c>
      <c r="AB316" t="s">
        <v>1085</v>
      </c>
    </row>
    <row r="317" spans="1:28" x14ac:dyDescent="0.25">
      <c r="A317" s="2" t="s">
        <v>28</v>
      </c>
      <c r="B317" s="2" t="s">
        <v>29</v>
      </c>
      <c r="C317" s="2" t="s">
        <v>374</v>
      </c>
      <c r="D317" s="2" t="s">
        <v>375</v>
      </c>
      <c r="E317" s="2" t="s">
        <v>39</v>
      </c>
      <c r="F317" s="2"/>
      <c r="G317" s="2" t="s">
        <v>40</v>
      </c>
      <c r="H317" s="3">
        <v>5555</v>
      </c>
      <c r="I317" s="3">
        <v>0</v>
      </c>
      <c r="J317" s="3">
        <v>0</v>
      </c>
      <c r="K317" s="3">
        <v>5555</v>
      </c>
      <c r="L317" t="s">
        <v>1071</v>
      </c>
      <c r="M317" t="s">
        <v>1072</v>
      </c>
      <c r="N317" t="s">
        <v>1073</v>
      </c>
      <c r="O317" t="s">
        <v>1074</v>
      </c>
      <c r="P317" t="s">
        <v>1075</v>
      </c>
      <c r="Q317" t="s">
        <v>1076</v>
      </c>
      <c r="R317" t="s">
        <v>1077</v>
      </c>
      <c r="S317" t="s">
        <v>1078</v>
      </c>
      <c r="T317" t="s">
        <v>1079</v>
      </c>
      <c r="U317" t="s">
        <v>1080</v>
      </c>
      <c r="V317" t="s">
        <v>1081</v>
      </c>
      <c r="W317" t="s">
        <v>1082</v>
      </c>
      <c r="X317">
        <v>20240630</v>
      </c>
      <c r="Y317" t="s">
        <v>1083</v>
      </c>
      <c r="Z317" t="s">
        <v>1084</v>
      </c>
      <c r="AA317" s="11" t="str">
        <f t="shared" si="4"/>
        <v>EXEC [dbo].[BalanceGeneralInsertar] @Nivel ='Auxiliar',@Transaccional ='Sí',@CodigoCuentaContable ='23651505', @NombreCuentaContable ='Retención 3,5%',@Identificacion ='800197268',@Sucursal ='',@NombreTercero ='DIAN',@SaldoInicial = 5555,@MovimientoDebito = 0,@MovimientoCredito =0,@SaldoFinal = 0,@Fecha ='20240630',@IdentificacionCliente = '901434038';</v>
      </c>
      <c r="AB317" t="s">
        <v>1085</v>
      </c>
    </row>
    <row r="318" spans="1:28" x14ac:dyDescent="0.25">
      <c r="A318" s="2" t="s">
        <v>28</v>
      </c>
      <c r="B318" s="2" t="s">
        <v>29</v>
      </c>
      <c r="C318" s="2" t="s">
        <v>374</v>
      </c>
      <c r="D318" s="2" t="s">
        <v>375</v>
      </c>
      <c r="E318" s="2" t="s">
        <v>376</v>
      </c>
      <c r="F318" s="2"/>
      <c r="G318" s="2" t="s">
        <v>377</v>
      </c>
      <c r="H318" s="3">
        <v>-5555</v>
      </c>
      <c r="I318" s="3">
        <v>0</v>
      </c>
      <c r="J318" s="3">
        <v>0</v>
      </c>
      <c r="K318" s="3">
        <v>-5555</v>
      </c>
      <c r="L318" t="s">
        <v>1071</v>
      </c>
      <c r="M318" t="s">
        <v>1072</v>
      </c>
      <c r="N318" t="s">
        <v>1073</v>
      </c>
      <c r="O318" t="s">
        <v>1074</v>
      </c>
      <c r="P318" t="s">
        <v>1075</v>
      </c>
      <c r="Q318" t="s">
        <v>1076</v>
      </c>
      <c r="R318" t="s">
        <v>1077</v>
      </c>
      <c r="S318" t="s">
        <v>1078</v>
      </c>
      <c r="T318" t="s">
        <v>1079</v>
      </c>
      <c r="U318" t="s">
        <v>1080</v>
      </c>
      <c r="V318" t="s">
        <v>1081</v>
      </c>
      <c r="W318" t="s">
        <v>1082</v>
      </c>
      <c r="X318">
        <v>20240630</v>
      </c>
      <c r="Y318" t="s">
        <v>1083</v>
      </c>
      <c r="Z318" t="s">
        <v>1084</v>
      </c>
      <c r="AA318" s="11" t="str">
        <f t="shared" si="4"/>
        <v>EXEC [dbo].[BalanceGeneralInsertar] @Nivel ='Auxiliar',@Transaccional ='Sí',@CodigoCuentaContable ='23651505', @NombreCuentaContable ='Retención 3,5%',@Identificacion ='900934851',@Sucursal ='',@NombreTercero ='GASTRONOMÍA ITALIANA EN COLOMBIA S.A.S',@SaldoInicial = -5555,@MovimientoDebito = 0,@MovimientoCredito =0,@SaldoFinal = 0,@Fecha ='20240630',@IdentificacionCliente = '901434038';</v>
      </c>
      <c r="AB318" t="s">
        <v>1085</v>
      </c>
    </row>
    <row r="319" spans="1:28" x14ac:dyDescent="0.25">
      <c r="A319" s="2" t="s">
        <v>25</v>
      </c>
      <c r="B319" s="2" t="s">
        <v>16</v>
      </c>
      <c r="C319" s="2" t="s">
        <v>378</v>
      </c>
      <c r="D319" s="2" t="s">
        <v>379</v>
      </c>
      <c r="E319" s="2"/>
      <c r="F319" s="2"/>
      <c r="G319" s="2"/>
      <c r="H319" s="3">
        <v>0</v>
      </c>
      <c r="I319" s="3">
        <v>0</v>
      </c>
      <c r="J319" s="3">
        <v>0</v>
      </c>
      <c r="K319" s="3">
        <v>0</v>
      </c>
      <c r="L319" t="s">
        <v>1071</v>
      </c>
      <c r="M319" t="s">
        <v>1072</v>
      </c>
      <c r="N319" t="s">
        <v>1073</v>
      </c>
      <c r="O319" t="s">
        <v>1074</v>
      </c>
      <c r="P319" t="s">
        <v>1075</v>
      </c>
      <c r="Q319" t="s">
        <v>1076</v>
      </c>
      <c r="R319" t="s">
        <v>1077</v>
      </c>
      <c r="S319" t="s">
        <v>1078</v>
      </c>
      <c r="T319" t="s">
        <v>1079</v>
      </c>
      <c r="U319" t="s">
        <v>1080</v>
      </c>
      <c r="V319" t="s">
        <v>1081</v>
      </c>
      <c r="W319" t="s">
        <v>1082</v>
      </c>
      <c r="X319">
        <v>20240630</v>
      </c>
      <c r="Y319" t="s">
        <v>1083</v>
      </c>
      <c r="Z319" t="s">
        <v>1084</v>
      </c>
      <c r="AA319" s="11" t="str">
        <f t="shared" si="4"/>
        <v>EXEC [dbo].[BalanceGeneralInsertar] @Nivel ='Subcuenta',@Transaccional ='No',@CodigoCuentaContable ='236520', @NombreCuentaContable ='Comisiones',@Identificacion ='',@Sucursal ='',@NombreTercero ='',@SaldoInicial = 0,@MovimientoDebito = 0,@MovimientoCredito =0,@SaldoFinal = 0,@Fecha ='20240630',@IdentificacionCliente = '901434038';</v>
      </c>
      <c r="AB319" t="s">
        <v>1085</v>
      </c>
    </row>
    <row r="320" spans="1:28" x14ac:dyDescent="0.25">
      <c r="A320" s="2" t="s">
        <v>28</v>
      </c>
      <c r="B320" s="2" t="s">
        <v>29</v>
      </c>
      <c r="C320" s="2" t="s">
        <v>380</v>
      </c>
      <c r="D320" s="2" t="s">
        <v>379</v>
      </c>
      <c r="E320" s="2" t="s">
        <v>39</v>
      </c>
      <c r="F320" s="2"/>
      <c r="G320" s="2" t="s">
        <v>40</v>
      </c>
      <c r="H320" s="3" t="s">
        <v>885</v>
      </c>
      <c r="I320" s="3">
        <v>0</v>
      </c>
      <c r="J320" s="3">
        <v>0</v>
      </c>
      <c r="K320" s="3" t="s">
        <v>885</v>
      </c>
      <c r="L320" t="s">
        <v>1071</v>
      </c>
      <c r="M320" t="s">
        <v>1072</v>
      </c>
      <c r="N320" t="s">
        <v>1073</v>
      </c>
      <c r="O320" t="s">
        <v>1074</v>
      </c>
      <c r="P320" t="s">
        <v>1075</v>
      </c>
      <c r="Q320" t="s">
        <v>1076</v>
      </c>
      <c r="R320" t="s">
        <v>1077</v>
      </c>
      <c r="S320" t="s">
        <v>1078</v>
      </c>
      <c r="T320" t="s">
        <v>1079</v>
      </c>
      <c r="U320" t="s">
        <v>1080</v>
      </c>
      <c r="V320" t="s">
        <v>1081</v>
      </c>
      <c r="W320" t="s">
        <v>1082</v>
      </c>
      <c r="X320">
        <v>20240630</v>
      </c>
      <c r="Y320" t="s">
        <v>1083</v>
      </c>
      <c r="Z320" t="s">
        <v>1084</v>
      </c>
      <c r="AA320" s="11" t="str">
        <f t="shared" si="4"/>
        <v>EXEC [dbo].[BalanceGeneralInsertar] @Nivel ='Auxiliar',@Transaccional ='Sí',@CodigoCuentaContable ='23652001', @NombreCuentaContable ='Comisiones',@Identificacion ='800197268',@Sucursal ='',@NombreTercero ='DIAN',@SaldoInicial = 56158.5,@MovimientoDebito = 0,@MovimientoCredito =0,@SaldoFinal = 0,@Fecha ='20240630',@IdentificacionCliente = '901434038';</v>
      </c>
      <c r="AB320" t="s">
        <v>1085</v>
      </c>
    </row>
    <row r="321" spans="1:28" x14ac:dyDescent="0.25">
      <c r="A321" s="2" t="s">
        <v>28</v>
      </c>
      <c r="B321" s="2" t="s">
        <v>29</v>
      </c>
      <c r="C321" s="2" t="s">
        <v>380</v>
      </c>
      <c r="D321" s="2" t="s">
        <v>379</v>
      </c>
      <c r="E321" s="2" t="s">
        <v>75</v>
      </c>
      <c r="F321" s="2"/>
      <c r="G321" s="2" t="s">
        <v>76</v>
      </c>
      <c r="H321" s="3" t="s">
        <v>886</v>
      </c>
      <c r="I321" s="3">
        <v>0</v>
      </c>
      <c r="J321" s="3">
        <v>0</v>
      </c>
      <c r="K321" s="3" t="s">
        <v>886</v>
      </c>
      <c r="L321" t="s">
        <v>1071</v>
      </c>
      <c r="M321" t="s">
        <v>1072</v>
      </c>
      <c r="N321" t="s">
        <v>1073</v>
      </c>
      <c r="O321" t="s">
        <v>1074</v>
      </c>
      <c r="P321" t="s">
        <v>1075</v>
      </c>
      <c r="Q321" t="s">
        <v>1076</v>
      </c>
      <c r="R321" t="s">
        <v>1077</v>
      </c>
      <c r="S321" t="s">
        <v>1078</v>
      </c>
      <c r="T321" t="s">
        <v>1079</v>
      </c>
      <c r="U321" t="s">
        <v>1080</v>
      </c>
      <c r="V321" t="s">
        <v>1081</v>
      </c>
      <c r="W321" t="s">
        <v>1082</v>
      </c>
      <c r="X321">
        <v>20240630</v>
      </c>
      <c r="Y321" t="s">
        <v>1083</v>
      </c>
      <c r="Z321" t="s">
        <v>1084</v>
      </c>
      <c r="AA321" s="11" t="str">
        <f t="shared" si="4"/>
        <v>EXEC [dbo].[BalanceGeneralInsertar] @Nivel ='Auxiliar',@Transaccional ='Sí',@CodigoCuentaContable ='23652001', @NombreCuentaContable ='Comisiones',@Identificacion ='1037607710',@Sucursal ='',@NombreTercero ='MANUELA DUQUE MOLINA',@SaldoInicial = -56158.5,@MovimientoDebito = 0,@MovimientoCredito =0,@SaldoFinal = 0,@Fecha ='20240630',@IdentificacionCliente = '901434038';</v>
      </c>
      <c r="AB321" t="s">
        <v>1085</v>
      </c>
    </row>
    <row r="322" spans="1:28" x14ac:dyDescent="0.25">
      <c r="A322" s="2" t="s">
        <v>25</v>
      </c>
      <c r="B322" s="2" t="s">
        <v>16</v>
      </c>
      <c r="C322" s="2" t="s">
        <v>381</v>
      </c>
      <c r="D322" s="2" t="s">
        <v>382</v>
      </c>
      <c r="E322" s="2"/>
      <c r="F322" s="2"/>
      <c r="G322" s="2"/>
      <c r="H322" s="3">
        <v>0</v>
      </c>
      <c r="I322" s="3">
        <v>0</v>
      </c>
      <c r="J322" s="3">
        <v>0</v>
      </c>
      <c r="K322" s="3">
        <v>0</v>
      </c>
      <c r="L322" t="s">
        <v>1071</v>
      </c>
      <c r="M322" t="s">
        <v>1072</v>
      </c>
      <c r="N322" t="s">
        <v>1073</v>
      </c>
      <c r="O322" t="s">
        <v>1074</v>
      </c>
      <c r="P322" t="s">
        <v>1075</v>
      </c>
      <c r="Q322" t="s">
        <v>1076</v>
      </c>
      <c r="R322" t="s">
        <v>1077</v>
      </c>
      <c r="S322" t="s">
        <v>1078</v>
      </c>
      <c r="T322" t="s">
        <v>1079</v>
      </c>
      <c r="U322" t="s">
        <v>1080</v>
      </c>
      <c r="V322" t="s">
        <v>1081</v>
      </c>
      <c r="W322" t="s">
        <v>1082</v>
      </c>
      <c r="X322">
        <v>20240630</v>
      </c>
      <c r="Y322" t="s">
        <v>1083</v>
      </c>
      <c r="Z322" t="s">
        <v>1084</v>
      </c>
      <c r="AA322" s="11" t="str">
        <f t="shared" si="4"/>
        <v>EXEC [dbo].[BalanceGeneralInsertar] @Nivel ='Subcuenta',@Transaccional ='No',@CodigoCuentaContable ='236525', @NombreCuentaContable ='Servicios',@Identificacion ='',@Sucursal ='',@NombreTercero ='',@SaldoInicial = 0,@MovimientoDebito = 0,@MovimientoCredito =0,@SaldoFinal = 0,@Fecha ='20240630',@IdentificacionCliente = '901434038';</v>
      </c>
      <c r="AB322" t="s">
        <v>1085</v>
      </c>
    </row>
    <row r="323" spans="1:28" x14ac:dyDescent="0.25">
      <c r="A323" s="2" t="s">
        <v>28</v>
      </c>
      <c r="B323" s="2" t="s">
        <v>29</v>
      </c>
      <c r="C323" s="2" t="s">
        <v>383</v>
      </c>
      <c r="D323" s="2" t="s">
        <v>384</v>
      </c>
      <c r="E323" s="2" t="s">
        <v>39</v>
      </c>
      <c r="F323" s="2"/>
      <c r="G323" s="2" t="s">
        <v>40</v>
      </c>
      <c r="H323" s="3">
        <v>620000</v>
      </c>
      <c r="I323" s="3">
        <v>0</v>
      </c>
      <c r="J323" s="3">
        <v>0</v>
      </c>
      <c r="K323" s="3">
        <v>620000</v>
      </c>
      <c r="L323" t="s">
        <v>1071</v>
      </c>
      <c r="M323" t="s">
        <v>1072</v>
      </c>
      <c r="N323" t="s">
        <v>1073</v>
      </c>
      <c r="O323" t="s">
        <v>1074</v>
      </c>
      <c r="P323" t="s">
        <v>1075</v>
      </c>
      <c r="Q323" t="s">
        <v>1076</v>
      </c>
      <c r="R323" t="s">
        <v>1077</v>
      </c>
      <c r="S323" t="s">
        <v>1078</v>
      </c>
      <c r="T323" t="s">
        <v>1079</v>
      </c>
      <c r="U323" t="s">
        <v>1080</v>
      </c>
      <c r="V323" t="s">
        <v>1081</v>
      </c>
      <c r="W323" t="s">
        <v>1082</v>
      </c>
      <c r="X323">
        <v>20240630</v>
      </c>
      <c r="Y323" t="s">
        <v>1083</v>
      </c>
      <c r="Z323" t="s">
        <v>1084</v>
      </c>
      <c r="AA323" s="11" t="str">
        <f t="shared" si="4"/>
        <v>EXEC [dbo].[BalanceGeneralInsertar] @Nivel ='Auxiliar',@Transaccional ='Sí',@CodigoCuentaContable ='23652503', @NombreCuentaContable ='Servicios 4%',@Identificacion ='800197268',@Sucursal ='',@NombreTercero ='DIAN',@SaldoInicial = 620000,@MovimientoDebito = 0,@MovimientoCredito =0,@SaldoFinal = 0,@Fecha ='20240630',@IdentificacionCliente = '901434038';</v>
      </c>
      <c r="AB323" t="s">
        <v>1085</v>
      </c>
    </row>
    <row r="324" spans="1:28" x14ac:dyDescent="0.25">
      <c r="A324" s="2" t="s">
        <v>28</v>
      </c>
      <c r="B324" s="2" t="s">
        <v>29</v>
      </c>
      <c r="C324" s="2" t="s">
        <v>383</v>
      </c>
      <c r="D324" s="2" t="s">
        <v>384</v>
      </c>
      <c r="E324" s="2" t="s">
        <v>99</v>
      </c>
      <c r="F324" s="2"/>
      <c r="G324" s="2" t="s">
        <v>100</v>
      </c>
      <c r="H324" s="3">
        <v>-620000</v>
      </c>
      <c r="I324" s="3">
        <v>0</v>
      </c>
      <c r="J324" s="3">
        <v>0</v>
      </c>
      <c r="K324" s="3">
        <v>-620000</v>
      </c>
      <c r="L324" t="s">
        <v>1071</v>
      </c>
      <c r="M324" t="s">
        <v>1072</v>
      </c>
      <c r="N324" t="s">
        <v>1073</v>
      </c>
      <c r="O324" t="s">
        <v>1074</v>
      </c>
      <c r="P324" t="s">
        <v>1075</v>
      </c>
      <c r="Q324" t="s">
        <v>1076</v>
      </c>
      <c r="R324" t="s">
        <v>1077</v>
      </c>
      <c r="S324" t="s">
        <v>1078</v>
      </c>
      <c r="T324" t="s">
        <v>1079</v>
      </c>
      <c r="U324" t="s">
        <v>1080</v>
      </c>
      <c r="V324" t="s">
        <v>1081</v>
      </c>
      <c r="W324" t="s">
        <v>1082</v>
      </c>
      <c r="X324">
        <v>20240630</v>
      </c>
      <c r="Y324" t="s">
        <v>1083</v>
      </c>
      <c r="Z324" t="s">
        <v>1084</v>
      </c>
      <c r="AA324" s="11" t="str">
        <f t="shared" si="4"/>
        <v>EXEC [dbo].[BalanceGeneralInsertar] @Nivel ='Auxiliar',@Transaccional ='Sí',@CodigoCuentaContable ='23652503', @NombreCuentaContable ='Servicios 4%',@Identificacion ='900397663',@Sucursal ='',@NombreTercero ='BTL COLOMBIA SAS',@SaldoInicial = -620000,@MovimientoDebito = 0,@MovimientoCredito =0,@SaldoFinal = 0,@Fecha ='20240630',@IdentificacionCliente = '901434038';</v>
      </c>
      <c r="AB324" t="s">
        <v>1085</v>
      </c>
    </row>
    <row r="325" spans="1:28" x14ac:dyDescent="0.25">
      <c r="A325" s="2" t="s">
        <v>25</v>
      </c>
      <c r="B325" s="2" t="s">
        <v>16</v>
      </c>
      <c r="C325" s="2" t="s">
        <v>385</v>
      </c>
      <c r="D325" s="2" t="s">
        <v>386</v>
      </c>
      <c r="E325" s="2"/>
      <c r="F325" s="2"/>
      <c r="G325" s="2"/>
      <c r="H325" s="3">
        <v>0</v>
      </c>
      <c r="I325" s="3">
        <v>0</v>
      </c>
      <c r="J325" s="3">
        <v>0</v>
      </c>
      <c r="K325" s="3">
        <v>0</v>
      </c>
      <c r="L325" t="s">
        <v>1071</v>
      </c>
      <c r="M325" t="s">
        <v>1072</v>
      </c>
      <c r="N325" t="s">
        <v>1073</v>
      </c>
      <c r="O325" t="s">
        <v>1074</v>
      </c>
      <c r="P325" t="s">
        <v>1075</v>
      </c>
      <c r="Q325" t="s">
        <v>1076</v>
      </c>
      <c r="R325" t="s">
        <v>1077</v>
      </c>
      <c r="S325" t="s">
        <v>1078</v>
      </c>
      <c r="T325" t="s">
        <v>1079</v>
      </c>
      <c r="U325" t="s">
        <v>1080</v>
      </c>
      <c r="V325" t="s">
        <v>1081</v>
      </c>
      <c r="W325" t="s">
        <v>1082</v>
      </c>
      <c r="X325">
        <v>20240630</v>
      </c>
      <c r="Y325" t="s">
        <v>1083</v>
      </c>
      <c r="Z325" t="s">
        <v>1084</v>
      </c>
      <c r="AA325" s="11" t="str">
        <f t="shared" si="4"/>
        <v>EXEC [dbo].[BalanceGeneralInsertar] @Nivel ='Subcuenta',@Transaccional ='No',@CodigoCuentaContable ='236540', @NombreCuentaContable ='Retención por compras',@Identificacion ='',@Sucursal ='',@NombreTercero ='',@SaldoInicial = 0,@MovimientoDebito = 0,@MovimientoCredito =0,@SaldoFinal = 0,@Fecha ='20240630',@IdentificacionCliente = '901434038';</v>
      </c>
      <c r="AB325" t="s">
        <v>1085</v>
      </c>
    </row>
    <row r="326" spans="1:28" x14ac:dyDescent="0.25">
      <c r="A326" s="2" t="s">
        <v>28</v>
      </c>
      <c r="B326" s="2" t="s">
        <v>29</v>
      </c>
      <c r="C326" s="2" t="s">
        <v>387</v>
      </c>
      <c r="D326" s="2" t="s">
        <v>388</v>
      </c>
      <c r="E326" s="2" t="s">
        <v>39</v>
      </c>
      <c r="F326" s="2"/>
      <c r="G326" s="2" t="s">
        <v>40</v>
      </c>
      <c r="H326" s="3" t="s">
        <v>887</v>
      </c>
      <c r="I326" s="3">
        <v>0</v>
      </c>
      <c r="J326" s="3">
        <v>0</v>
      </c>
      <c r="K326" s="3" t="s">
        <v>887</v>
      </c>
      <c r="L326" t="s">
        <v>1071</v>
      </c>
      <c r="M326" t="s">
        <v>1072</v>
      </c>
      <c r="N326" t="s">
        <v>1073</v>
      </c>
      <c r="O326" t="s">
        <v>1074</v>
      </c>
      <c r="P326" t="s">
        <v>1075</v>
      </c>
      <c r="Q326" t="s">
        <v>1076</v>
      </c>
      <c r="R326" t="s">
        <v>1077</v>
      </c>
      <c r="S326" t="s">
        <v>1078</v>
      </c>
      <c r="T326" t="s">
        <v>1079</v>
      </c>
      <c r="U326" t="s">
        <v>1080</v>
      </c>
      <c r="V326" t="s">
        <v>1081</v>
      </c>
      <c r="W326" t="s">
        <v>1082</v>
      </c>
      <c r="X326">
        <v>20240630</v>
      </c>
      <c r="Y326" t="s">
        <v>1083</v>
      </c>
      <c r="Z326" t="s">
        <v>1084</v>
      </c>
      <c r="AA326" s="11" t="str">
        <f t="shared" si="4"/>
        <v>EXEC [dbo].[BalanceGeneralInsertar] @Nivel ='Auxiliar',@Transaccional ='Sí',@CodigoCuentaContable ='23654001', @NombreCuentaContable ='Retención por compras 2,5%',@Identificacion ='800197268',@Sucursal ='',@NombreTercero ='DIAN',@SaldoInicial = 20745946.65,@MovimientoDebito = 0,@MovimientoCredito =0,@SaldoFinal = 0,@Fecha ='20240630',@IdentificacionCliente = '901434038';</v>
      </c>
      <c r="AB326" t="s">
        <v>1085</v>
      </c>
    </row>
    <row r="327" spans="1:28" x14ac:dyDescent="0.25">
      <c r="A327" s="2" t="s">
        <v>28</v>
      </c>
      <c r="B327" s="2" t="s">
        <v>29</v>
      </c>
      <c r="C327" s="2" t="s">
        <v>387</v>
      </c>
      <c r="D327" s="2" t="s">
        <v>388</v>
      </c>
      <c r="E327" s="2" t="s">
        <v>121</v>
      </c>
      <c r="F327" s="2"/>
      <c r="G327" s="2" t="s">
        <v>122</v>
      </c>
      <c r="H327" s="3">
        <v>-2225000</v>
      </c>
      <c r="I327" s="3">
        <v>0</v>
      </c>
      <c r="J327" s="3">
        <v>0</v>
      </c>
      <c r="K327" s="3">
        <v>-2225000</v>
      </c>
      <c r="L327" t="s">
        <v>1071</v>
      </c>
      <c r="M327" t="s">
        <v>1072</v>
      </c>
      <c r="N327" t="s">
        <v>1073</v>
      </c>
      <c r="O327" t="s">
        <v>1074</v>
      </c>
      <c r="P327" t="s">
        <v>1075</v>
      </c>
      <c r="Q327" t="s">
        <v>1076</v>
      </c>
      <c r="R327" t="s">
        <v>1077</v>
      </c>
      <c r="S327" t="s">
        <v>1078</v>
      </c>
      <c r="T327" t="s">
        <v>1079</v>
      </c>
      <c r="U327" t="s">
        <v>1080</v>
      </c>
      <c r="V327" t="s">
        <v>1081</v>
      </c>
      <c r="W327" t="s">
        <v>1082</v>
      </c>
      <c r="X327">
        <v>20240630</v>
      </c>
      <c r="Y327" t="s">
        <v>1083</v>
      </c>
      <c r="Z327" t="s">
        <v>1084</v>
      </c>
      <c r="AA327" s="11" t="str">
        <f t="shared" si="4"/>
        <v>EXEC [dbo].[BalanceGeneralInsertar] @Nivel ='Auxiliar',@Transaccional ='Sí',@CodigoCuentaContable ='23654001', @NombreCuentaContable ='Retención por compras 2,5%',@Identificacion ='92555120',@Sucursal ='',@NombreTercero ='JOSE OMAR VELILLA',@SaldoInicial = -2225000,@MovimientoDebito = 0,@MovimientoCredito =0,@SaldoFinal = 0,@Fecha ='20240630',@IdentificacionCliente = '901434038';</v>
      </c>
      <c r="AB327" t="s">
        <v>1085</v>
      </c>
    </row>
    <row r="328" spans="1:28" x14ac:dyDescent="0.25">
      <c r="A328" s="2" t="s">
        <v>28</v>
      </c>
      <c r="B328" s="2" t="s">
        <v>29</v>
      </c>
      <c r="C328" s="2" t="s">
        <v>387</v>
      </c>
      <c r="D328" s="2" t="s">
        <v>388</v>
      </c>
      <c r="E328" s="2" t="s">
        <v>99</v>
      </c>
      <c r="F328" s="2"/>
      <c r="G328" s="2" t="s">
        <v>100</v>
      </c>
      <c r="H328" s="3" t="s">
        <v>888</v>
      </c>
      <c r="I328" s="3">
        <v>0</v>
      </c>
      <c r="J328" s="3">
        <v>0</v>
      </c>
      <c r="K328" s="3" t="s">
        <v>888</v>
      </c>
      <c r="L328" t="s">
        <v>1071</v>
      </c>
      <c r="M328" t="s">
        <v>1072</v>
      </c>
      <c r="N328" t="s">
        <v>1073</v>
      </c>
      <c r="O328" t="s">
        <v>1074</v>
      </c>
      <c r="P328" t="s">
        <v>1075</v>
      </c>
      <c r="Q328" t="s">
        <v>1076</v>
      </c>
      <c r="R328" t="s">
        <v>1077</v>
      </c>
      <c r="S328" t="s">
        <v>1078</v>
      </c>
      <c r="T328" t="s">
        <v>1079</v>
      </c>
      <c r="U328" t="s">
        <v>1080</v>
      </c>
      <c r="V328" t="s">
        <v>1081</v>
      </c>
      <c r="W328" t="s">
        <v>1082</v>
      </c>
      <c r="X328">
        <v>20240630</v>
      </c>
      <c r="Y328" t="s">
        <v>1083</v>
      </c>
      <c r="Z328" t="s">
        <v>1084</v>
      </c>
      <c r="AA328" s="11" t="str">
        <f t="shared" si="4"/>
        <v>EXEC [dbo].[BalanceGeneralInsertar] @Nivel ='Auxiliar',@Transaccional ='Sí',@CodigoCuentaContable ='23654001', @NombreCuentaContable ='Retención por compras 2,5%',@Identificacion ='900397663',@Sucursal ='',@NombreTercero ='BTL COLOMBIA SAS',@SaldoInicial = -18520946.65,@MovimientoDebito = 0,@MovimientoCredito =0,@SaldoFinal = 0,@Fecha ='20240630',@IdentificacionCliente = '901434038';</v>
      </c>
      <c r="AB328" t="s">
        <v>1085</v>
      </c>
    </row>
    <row r="329" spans="1:28" x14ac:dyDescent="0.25">
      <c r="A329" s="2" t="s">
        <v>25</v>
      </c>
      <c r="B329" s="2" t="s">
        <v>16</v>
      </c>
      <c r="C329" s="2" t="s">
        <v>389</v>
      </c>
      <c r="D329" s="2" t="s">
        <v>390</v>
      </c>
      <c r="E329" s="2"/>
      <c r="F329" s="2"/>
      <c r="G329" s="2"/>
      <c r="H329" s="3">
        <v>0</v>
      </c>
      <c r="I329" s="3">
        <v>0</v>
      </c>
      <c r="J329" s="3">
        <v>0</v>
      </c>
      <c r="K329" s="3">
        <v>0</v>
      </c>
      <c r="L329" t="s">
        <v>1071</v>
      </c>
      <c r="M329" t="s">
        <v>1072</v>
      </c>
      <c r="N329" t="s">
        <v>1073</v>
      </c>
      <c r="O329" t="s">
        <v>1074</v>
      </c>
      <c r="P329" t="s">
        <v>1075</v>
      </c>
      <c r="Q329" t="s">
        <v>1076</v>
      </c>
      <c r="R329" t="s">
        <v>1077</v>
      </c>
      <c r="S329" t="s">
        <v>1078</v>
      </c>
      <c r="T329" t="s">
        <v>1079</v>
      </c>
      <c r="U329" t="s">
        <v>1080</v>
      </c>
      <c r="V329" t="s">
        <v>1081</v>
      </c>
      <c r="W329" t="s">
        <v>1082</v>
      </c>
      <c r="X329">
        <v>20240630</v>
      </c>
      <c r="Y329" t="s">
        <v>1083</v>
      </c>
      <c r="Z329" t="s">
        <v>1084</v>
      </c>
      <c r="AA329" s="11" t="str">
        <f t="shared" si="4"/>
        <v>EXEC [dbo].[BalanceGeneralInsertar] @Nivel ='Subcuenta',@Transaccional ='No',@CodigoCuentaContable ='236575', @NombreCuentaContable ='Autorretenciones',@Identificacion ='',@Sucursal ='',@NombreTercero ='',@SaldoInicial = 0,@MovimientoDebito = 0,@MovimientoCredito =0,@SaldoFinal = 0,@Fecha ='20240630',@IdentificacionCliente = '901434038';</v>
      </c>
      <c r="AB329" t="s">
        <v>1085</v>
      </c>
    </row>
    <row r="330" spans="1:28" x14ac:dyDescent="0.25">
      <c r="A330" s="2" t="s">
        <v>28</v>
      </c>
      <c r="B330" s="2" t="s">
        <v>29</v>
      </c>
      <c r="C330" s="2" t="s">
        <v>391</v>
      </c>
      <c r="D330" s="2" t="s">
        <v>390</v>
      </c>
      <c r="E330" s="2" t="s">
        <v>35</v>
      </c>
      <c r="F330" s="2"/>
      <c r="G330" s="2" t="s">
        <v>36</v>
      </c>
      <c r="H330" s="3" t="s">
        <v>889</v>
      </c>
      <c r="I330" s="3">
        <v>0</v>
      </c>
      <c r="J330" s="3">
        <v>0</v>
      </c>
      <c r="K330" s="3" t="s">
        <v>889</v>
      </c>
      <c r="L330" t="s">
        <v>1071</v>
      </c>
      <c r="M330" t="s">
        <v>1072</v>
      </c>
      <c r="N330" t="s">
        <v>1073</v>
      </c>
      <c r="O330" t="s">
        <v>1074</v>
      </c>
      <c r="P330" t="s">
        <v>1075</v>
      </c>
      <c r="Q330" t="s">
        <v>1076</v>
      </c>
      <c r="R330" t="s">
        <v>1077</v>
      </c>
      <c r="S330" t="s">
        <v>1078</v>
      </c>
      <c r="T330" t="s">
        <v>1079</v>
      </c>
      <c r="U330" t="s">
        <v>1080</v>
      </c>
      <c r="V330" t="s">
        <v>1081</v>
      </c>
      <c r="W330" t="s">
        <v>1082</v>
      </c>
      <c r="X330">
        <v>20240630</v>
      </c>
      <c r="Y330" t="s">
        <v>1083</v>
      </c>
      <c r="Z330" t="s">
        <v>1084</v>
      </c>
      <c r="AA330" s="11" t="str">
        <f t="shared" ref="AA330:AA393" si="5">_xlfn.CONCAT(L330,Y330,A330,Y330,Z330,M330,Y330,B330,Y330,Z330,N330,Y330,C330,Y330,Z330,AB330,Y330,D330,Y330,Z330,O330,Y330,E330,Y330,Z330,P330,Y330,F330,Y330,Z330,Q330,Y330,G330,Y330,Z330,R330,H330,Z330,S330,I330,Z330,T330,J330,Z330,U330,J330,Z330,V330,Y330,X330,Y330,Z330,W330,Y330,"901434038",Y330,";")</f>
        <v>EXEC [dbo].[BalanceGeneralInsertar] @Nivel ='Auxiliar',@Transaccional ='Sí',@CodigoCuentaContable ='23657501', @NombreCuentaContable ='Autorretenciones',@Identificacion ='890903938',@Sucursal ='',@NombreTercero ='Bancolombia',@SaldoInicial = -26.74,@MovimientoDebito = 0,@MovimientoCredito =0,@SaldoFinal = 0,@Fecha ='20240630',@IdentificacionCliente = '901434038';</v>
      </c>
      <c r="AB330" t="s">
        <v>1085</v>
      </c>
    </row>
    <row r="331" spans="1:28" x14ac:dyDescent="0.25">
      <c r="A331" s="2" t="s">
        <v>28</v>
      </c>
      <c r="B331" s="2" t="s">
        <v>29</v>
      </c>
      <c r="C331" s="2" t="s">
        <v>391</v>
      </c>
      <c r="D331" s="2" t="s">
        <v>390</v>
      </c>
      <c r="E331" s="2" t="s">
        <v>39</v>
      </c>
      <c r="F331" s="2"/>
      <c r="G331" s="2" t="s">
        <v>40</v>
      </c>
      <c r="H331" s="3" t="s">
        <v>890</v>
      </c>
      <c r="I331" s="3">
        <v>0</v>
      </c>
      <c r="J331" s="3">
        <v>0</v>
      </c>
      <c r="K331" s="3" t="s">
        <v>890</v>
      </c>
      <c r="L331" t="s">
        <v>1071</v>
      </c>
      <c r="M331" t="s">
        <v>1072</v>
      </c>
      <c r="N331" t="s">
        <v>1073</v>
      </c>
      <c r="O331" t="s">
        <v>1074</v>
      </c>
      <c r="P331" t="s">
        <v>1075</v>
      </c>
      <c r="Q331" t="s">
        <v>1076</v>
      </c>
      <c r="R331" t="s">
        <v>1077</v>
      </c>
      <c r="S331" t="s">
        <v>1078</v>
      </c>
      <c r="T331" t="s">
        <v>1079</v>
      </c>
      <c r="U331" t="s">
        <v>1080</v>
      </c>
      <c r="V331" t="s">
        <v>1081</v>
      </c>
      <c r="W331" t="s">
        <v>1082</v>
      </c>
      <c r="X331">
        <v>20240630</v>
      </c>
      <c r="Y331" t="s">
        <v>1083</v>
      </c>
      <c r="Z331" t="s">
        <v>1084</v>
      </c>
      <c r="AA331" s="11" t="str">
        <f t="shared" si="5"/>
        <v>EXEC [dbo].[BalanceGeneralInsertar] @Nivel ='Auxiliar',@Transaccional ='Sí',@CodigoCuentaContable ='23657501', @NombreCuentaContable ='Autorretenciones',@Identificacion ='800197268',@Sucursal ='',@NombreTercero ='DIAN',@SaldoInicial = 3411454.64,@MovimientoDebito = 0,@MovimientoCredito =0,@SaldoFinal = 0,@Fecha ='20240630',@IdentificacionCliente = '901434038';</v>
      </c>
      <c r="AB331" t="s">
        <v>1085</v>
      </c>
    </row>
    <row r="332" spans="1:28" x14ac:dyDescent="0.25">
      <c r="A332" s="2" t="s">
        <v>28</v>
      </c>
      <c r="B332" s="2" t="s">
        <v>29</v>
      </c>
      <c r="C332" s="2" t="s">
        <v>391</v>
      </c>
      <c r="D332" s="2" t="s">
        <v>390</v>
      </c>
      <c r="E332" s="2" t="s">
        <v>115</v>
      </c>
      <c r="F332" s="2"/>
      <c r="G332" s="2" t="s">
        <v>116</v>
      </c>
      <c r="H332" s="3" t="s">
        <v>891</v>
      </c>
      <c r="I332" s="3">
        <v>0</v>
      </c>
      <c r="J332" s="3">
        <v>0</v>
      </c>
      <c r="K332" s="3" t="s">
        <v>891</v>
      </c>
      <c r="L332" t="s">
        <v>1071</v>
      </c>
      <c r="M332" t="s">
        <v>1072</v>
      </c>
      <c r="N332" t="s">
        <v>1073</v>
      </c>
      <c r="O332" t="s">
        <v>1074</v>
      </c>
      <c r="P332" t="s">
        <v>1075</v>
      </c>
      <c r="Q332" t="s">
        <v>1076</v>
      </c>
      <c r="R332" t="s">
        <v>1077</v>
      </c>
      <c r="S332" t="s">
        <v>1078</v>
      </c>
      <c r="T332" t="s">
        <v>1079</v>
      </c>
      <c r="U332" t="s">
        <v>1080</v>
      </c>
      <c r="V332" t="s">
        <v>1081</v>
      </c>
      <c r="W332" t="s">
        <v>1082</v>
      </c>
      <c r="X332">
        <v>20240630</v>
      </c>
      <c r="Y332" t="s">
        <v>1083</v>
      </c>
      <c r="Z332" t="s">
        <v>1084</v>
      </c>
      <c r="AA332" s="11" t="str">
        <f t="shared" si="5"/>
        <v>EXEC [dbo].[BalanceGeneralInsertar] @Nivel ='Auxiliar',@Transaccional ='Sí',@CodigoCuentaContable ='23657501', @NombreCuentaContable ='Autorretenciones',@Identificacion ='901093584',@Sucursal ='',@NombreTercero ='VITTI S A S',@SaldoInicial = -1042040.06,@MovimientoDebito = 0,@MovimientoCredito =0,@SaldoFinal = 0,@Fecha ='20240630',@IdentificacionCliente = '901434038';</v>
      </c>
      <c r="AB332" t="s">
        <v>1085</v>
      </c>
    </row>
    <row r="333" spans="1:28" x14ac:dyDescent="0.25">
      <c r="A333" s="2" t="s">
        <v>28</v>
      </c>
      <c r="B333" s="2" t="s">
        <v>29</v>
      </c>
      <c r="C333" s="2" t="s">
        <v>391</v>
      </c>
      <c r="D333" s="2" t="s">
        <v>390</v>
      </c>
      <c r="E333" s="2" t="s">
        <v>103</v>
      </c>
      <c r="F333" s="2"/>
      <c r="G333" s="2" t="s">
        <v>104</v>
      </c>
      <c r="H333" s="3" t="s">
        <v>892</v>
      </c>
      <c r="I333" s="3">
        <v>0</v>
      </c>
      <c r="J333" s="3">
        <v>0</v>
      </c>
      <c r="K333" s="3" t="s">
        <v>892</v>
      </c>
      <c r="L333" t="s">
        <v>1071</v>
      </c>
      <c r="M333" t="s">
        <v>1072</v>
      </c>
      <c r="N333" t="s">
        <v>1073</v>
      </c>
      <c r="O333" t="s">
        <v>1074</v>
      </c>
      <c r="P333" t="s">
        <v>1075</v>
      </c>
      <c r="Q333" t="s">
        <v>1076</v>
      </c>
      <c r="R333" t="s">
        <v>1077</v>
      </c>
      <c r="S333" t="s">
        <v>1078</v>
      </c>
      <c r="T333" t="s">
        <v>1079</v>
      </c>
      <c r="U333" t="s">
        <v>1080</v>
      </c>
      <c r="V333" t="s">
        <v>1081</v>
      </c>
      <c r="W333" t="s">
        <v>1082</v>
      </c>
      <c r="X333">
        <v>20240630</v>
      </c>
      <c r="Y333" t="s">
        <v>1083</v>
      </c>
      <c r="Z333" t="s">
        <v>1084</v>
      </c>
      <c r="AA333" s="11" t="str">
        <f t="shared" si="5"/>
        <v>EXEC [dbo].[BalanceGeneralInsertar] @Nivel ='Auxiliar',@Transaccional ='Sí',@CodigoCuentaContable ='23657501', @NombreCuentaContable ='Autorretenciones',@Identificacion ='900297847',@Sucursal ='',@NombreTercero ='CENTRO CONTRA EFECTOS DE LA EDAD S.A.S',@SaldoInicial = -502761.56,@MovimientoDebito = 0,@MovimientoCredito =0,@SaldoFinal = 0,@Fecha ='20240630',@IdentificacionCliente = '901434038';</v>
      </c>
      <c r="AB333" t="s">
        <v>1085</v>
      </c>
    </row>
    <row r="334" spans="1:28" x14ac:dyDescent="0.25">
      <c r="A334" s="2" t="s">
        <v>28</v>
      </c>
      <c r="B334" s="2" t="s">
        <v>29</v>
      </c>
      <c r="C334" s="2" t="s">
        <v>391</v>
      </c>
      <c r="D334" s="2" t="s">
        <v>390</v>
      </c>
      <c r="E334" s="2" t="s">
        <v>105</v>
      </c>
      <c r="F334" s="2"/>
      <c r="G334" s="2" t="s">
        <v>106</v>
      </c>
      <c r="H334" s="3" t="s">
        <v>893</v>
      </c>
      <c r="I334" s="3">
        <v>0</v>
      </c>
      <c r="J334" s="3">
        <v>0</v>
      </c>
      <c r="K334" s="3" t="s">
        <v>893</v>
      </c>
      <c r="L334" t="s">
        <v>1071</v>
      </c>
      <c r="M334" t="s">
        <v>1072</v>
      </c>
      <c r="N334" t="s">
        <v>1073</v>
      </c>
      <c r="O334" t="s">
        <v>1074</v>
      </c>
      <c r="P334" t="s">
        <v>1075</v>
      </c>
      <c r="Q334" t="s">
        <v>1076</v>
      </c>
      <c r="R334" t="s">
        <v>1077</v>
      </c>
      <c r="S334" t="s">
        <v>1078</v>
      </c>
      <c r="T334" t="s">
        <v>1079</v>
      </c>
      <c r="U334" t="s">
        <v>1080</v>
      </c>
      <c r="V334" t="s">
        <v>1081</v>
      </c>
      <c r="W334" t="s">
        <v>1082</v>
      </c>
      <c r="X334">
        <v>20240630</v>
      </c>
      <c r="Y334" t="s">
        <v>1083</v>
      </c>
      <c r="Z334" t="s">
        <v>1084</v>
      </c>
      <c r="AA334" s="11" t="str">
        <f t="shared" si="5"/>
        <v>EXEC [dbo].[BalanceGeneralInsertar] @Nivel ='Auxiliar',@Transaccional ='Sí',@CodigoCuentaContable ='23657501', @NombreCuentaContable ='Autorretenciones',@Identificacion ='901000155',@Sucursal ='',@NombreTercero ='DELUXE BY CRISTINA JARAMILLO S.A.S',@SaldoInicial = -582619.98,@MovimientoDebito = 0,@MovimientoCredito =0,@SaldoFinal = 0,@Fecha ='20240630',@IdentificacionCliente = '901434038';</v>
      </c>
      <c r="AB334" t="s">
        <v>1085</v>
      </c>
    </row>
    <row r="335" spans="1:28" x14ac:dyDescent="0.25">
      <c r="A335" s="2" t="s">
        <v>28</v>
      </c>
      <c r="B335" s="2" t="s">
        <v>29</v>
      </c>
      <c r="C335" s="2" t="s">
        <v>391</v>
      </c>
      <c r="D335" s="2" t="s">
        <v>390</v>
      </c>
      <c r="E335" s="2" t="s">
        <v>107</v>
      </c>
      <c r="F335" s="2"/>
      <c r="G335" s="2" t="s">
        <v>108</v>
      </c>
      <c r="H335" s="3" t="s">
        <v>894</v>
      </c>
      <c r="I335" s="3">
        <v>0</v>
      </c>
      <c r="J335" s="3">
        <v>0</v>
      </c>
      <c r="K335" s="3" t="s">
        <v>894</v>
      </c>
      <c r="L335" t="s">
        <v>1071</v>
      </c>
      <c r="M335" t="s">
        <v>1072</v>
      </c>
      <c r="N335" t="s">
        <v>1073</v>
      </c>
      <c r="O335" t="s">
        <v>1074</v>
      </c>
      <c r="P335" t="s">
        <v>1075</v>
      </c>
      <c r="Q335" t="s">
        <v>1076</v>
      </c>
      <c r="R335" t="s">
        <v>1077</v>
      </c>
      <c r="S335" t="s">
        <v>1078</v>
      </c>
      <c r="T335" t="s">
        <v>1079</v>
      </c>
      <c r="U335" t="s">
        <v>1080</v>
      </c>
      <c r="V335" t="s">
        <v>1081</v>
      </c>
      <c r="W335" t="s">
        <v>1082</v>
      </c>
      <c r="X335">
        <v>20240630</v>
      </c>
      <c r="Y335" t="s">
        <v>1083</v>
      </c>
      <c r="Z335" t="s">
        <v>1084</v>
      </c>
      <c r="AA335" s="11" t="str">
        <f t="shared" si="5"/>
        <v>EXEC [dbo].[BalanceGeneralInsertar] @Nivel ='Auxiliar',@Transaccional ='Sí',@CodigoCuentaContable ='23657501', @NombreCuentaContable ='Autorretenciones',@Identificacion ='860531315',@Sucursal ='',@NombreTercero ='ALIANZA FIDUCIARIA S.A.',@SaldoInicial = -11134.46,@MovimientoDebito = 0,@MovimientoCredito =0,@SaldoFinal = 0,@Fecha ='20240630',@IdentificacionCliente = '901434038';</v>
      </c>
      <c r="AB335" t="s">
        <v>1085</v>
      </c>
    </row>
    <row r="336" spans="1:28" x14ac:dyDescent="0.25">
      <c r="A336" s="2" t="s">
        <v>28</v>
      </c>
      <c r="B336" s="2" t="s">
        <v>29</v>
      </c>
      <c r="C336" s="2" t="s">
        <v>391</v>
      </c>
      <c r="D336" s="2" t="s">
        <v>390</v>
      </c>
      <c r="E336" s="2" t="s">
        <v>83</v>
      </c>
      <c r="F336" s="2"/>
      <c r="G336" s="2" t="s">
        <v>84</v>
      </c>
      <c r="H336" s="3">
        <v>-169309</v>
      </c>
      <c r="I336" s="3">
        <v>0</v>
      </c>
      <c r="J336" s="3">
        <v>0</v>
      </c>
      <c r="K336" s="3">
        <v>-169309</v>
      </c>
      <c r="L336" t="s">
        <v>1071</v>
      </c>
      <c r="M336" t="s">
        <v>1072</v>
      </c>
      <c r="N336" t="s">
        <v>1073</v>
      </c>
      <c r="O336" t="s">
        <v>1074</v>
      </c>
      <c r="P336" t="s">
        <v>1075</v>
      </c>
      <c r="Q336" t="s">
        <v>1076</v>
      </c>
      <c r="R336" t="s">
        <v>1077</v>
      </c>
      <c r="S336" t="s">
        <v>1078</v>
      </c>
      <c r="T336" t="s">
        <v>1079</v>
      </c>
      <c r="U336" t="s">
        <v>1080</v>
      </c>
      <c r="V336" t="s">
        <v>1081</v>
      </c>
      <c r="W336" t="s">
        <v>1082</v>
      </c>
      <c r="X336">
        <v>20240630</v>
      </c>
      <c r="Y336" t="s">
        <v>1083</v>
      </c>
      <c r="Z336" t="s">
        <v>1084</v>
      </c>
      <c r="AA336" s="11" t="str">
        <f t="shared" si="5"/>
        <v>EXEC [dbo].[BalanceGeneralInsertar] @Nivel ='Auxiliar',@Transaccional ='Sí',@CodigoCuentaContable ='23657501', @NombreCuentaContable ='Autorretenciones',@Identificacion ='830081040',@Sucursal ='',@NombreTercero ='INSTITUTO DE ESTETICA MEDICA DE COLOMBIA LTDA.',@SaldoInicial = -169309,@MovimientoDebito = 0,@MovimientoCredito =0,@SaldoFinal = 0,@Fecha ='20240630',@IdentificacionCliente = '901434038';</v>
      </c>
      <c r="AB336" t="s">
        <v>1085</v>
      </c>
    </row>
    <row r="337" spans="1:28" x14ac:dyDescent="0.25">
      <c r="A337" s="2" t="s">
        <v>28</v>
      </c>
      <c r="B337" s="2" t="s">
        <v>29</v>
      </c>
      <c r="C337" s="2" t="s">
        <v>391</v>
      </c>
      <c r="D337" s="2" t="s">
        <v>390</v>
      </c>
      <c r="E337" s="2" t="s">
        <v>97</v>
      </c>
      <c r="F337" s="2"/>
      <c r="G337" s="2" t="s">
        <v>98</v>
      </c>
      <c r="H337" s="3" t="s">
        <v>895</v>
      </c>
      <c r="I337" s="3">
        <v>0</v>
      </c>
      <c r="J337" s="3">
        <v>0</v>
      </c>
      <c r="K337" s="3" t="s">
        <v>895</v>
      </c>
      <c r="L337" t="s">
        <v>1071</v>
      </c>
      <c r="M337" t="s">
        <v>1072</v>
      </c>
      <c r="N337" t="s">
        <v>1073</v>
      </c>
      <c r="O337" t="s">
        <v>1074</v>
      </c>
      <c r="P337" t="s">
        <v>1075</v>
      </c>
      <c r="Q337" t="s">
        <v>1076</v>
      </c>
      <c r="R337" t="s">
        <v>1077</v>
      </c>
      <c r="S337" t="s">
        <v>1078</v>
      </c>
      <c r="T337" t="s">
        <v>1079</v>
      </c>
      <c r="U337" t="s">
        <v>1080</v>
      </c>
      <c r="V337" t="s">
        <v>1081</v>
      </c>
      <c r="W337" t="s">
        <v>1082</v>
      </c>
      <c r="X337">
        <v>20240630</v>
      </c>
      <c r="Y337" t="s">
        <v>1083</v>
      </c>
      <c r="Z337" t="s">
        <v>1084</v>
      </c>
      <c r="AA337" s="11" t="str">
        <f t="shared" si="5"/>
        <v>EXEC [dbo].[BalanceGeneralInsertar] @Nivel ='Auxiliar',@Transaccional ='Sí',@CodigoCuentaContable ='23657501', @NombreCuentaContable ='Autorretenciones',@Identificacion ='32936199',@Sucursal ='',@NombreTercero ='ALEIDA MARIA GIRALDO CASTRO',@SaldoInicial = -27554.6,@MovimientoDebito = 0,@MovimientoCredito =0,@SaldoFinal = 0,@Fecha ='20240630',@IdentificacionCliente = '901434038';</v>
      </c>
      <c r="AB337" t="s">
        <v>1085</v>
      </c>
    </row>
    <row r="338" spans="1:28" x14ac:dyDescent="0.25">
      <c r="A338" s="2" t="s">
        <v>28</v>
      </c>
      <c r="B338" s="2" t="s">
        <v>29</v>
      </c>
      <c r="C338" s="2" t="s">
        <v>391</v>
      </c>
      <c r="D338" s="2" t="s">
        <v>390</v>
      </c>
      <c r="E338" s="2" t="s">
        <v>77</v>
      </c>
      <c r="F338" s="2"/>
      <c r="G338" s="2" t="s">
        <v>78</v>
      </c>
      <c r="H338" s="3">
        <v>-32000</v>
      </c>
      <c r="I338" s="3">
        <v>0</v>
      </c>
      <c r="J338" s="3">
        <v>0</v>
      </c>
      <c r="K338" s="3">
        <v>-32000</v>
      </c>
      <c r="L338" t="s">
        <v>1071</v>
      </c>
      <c r="M338" t="s">
        <v>1072</v>
      </c>
      <c r="N338" t="s">
        <v>1073</v>
      </c>
      <c r="O338" t="s">
        <v>1074</v>
      </c>
      <c r="P338" t="s">
        <v>1075</v>
      </c>
      <c r="Q338" t="s">
        <v>1076</v>
      </c>
      <c r="R338" t="s">
        <v>1077</v>
      </c>
      <c r="S338" t="s">
        <v>1078</v>
      </c>
      <c r="T338" t="s">
        <v>1079</v>
      </c>
      <c r="U338" t="s">
        <v>1080</v>
      </c>
      <c r="V338" t="s">
        <v>1081</v>
      </c>
      <c r="W338" t="s">
        <v>1082</v>
      </c>
      <c r="X338">
        <v>20240630</v>
      </c>
      <c r="Y338" t="s">
        <v>1083</v>
      </c>
      <c r="Z338" t="s">
        <v>1084</v>
      </c>
      <c r="AA338" s="11" t="str">
        <f t="shared" si="5"/>
        <v>EXEC [dbo].[BalanceGeneralInsertar] @Nivel ='Auxiliar',@Transaccional ='Sí',@CodigoCuentaContable ='23657501', @NombreCuentaContable ='Autorretenciones',@Identificacion ='900161580',@Sucursal ='',@NombreTercero ='ORGANIZACION SANTAMARIA SAS',@SaldoInicial = -32000,@MovimientoDebito = 0,@MovimientoCredito =0,@SaldoFinal = 0,@Fecha ='20240630',@IdentificacionCliente = '901434038';</v>
      </c>
      <c r="AB338" t="s">
        <v>1085</v>
      </c>
    </row>
    <row r="339" spans="1:28" x14ac:dyDescent="0.25">
      <c r="A339" s="2" t="s">
        <v>28</v>
      </c>
      <c r="B339" s="2" t="s">
        <v>29</v>
      </c>
      <c r="C339" s="2" t="s">
        <v>391</v>
      </c>
      <c r="D339" s="2" t="s">
        <v>390</v>
      </c>
      <c r="E339" s="2" t="s">
        <v>139</v>
      </c>
      <c r="F339" s="2"/>
      <c r="G339" s="2" t="s">
        <v>140</v>
      </c>
      <c r="H339" s="3">
        <v>-194700</v>
      </c>
      <c r="I339" s="3">
        <v>0</v>
      </c>
      <c r="J339" s="3">
        <v>0</v>
      </c>
      <c r="K339" s="3">
        <v>-194700</v>
      </c>
      <c r="L339" t="s">
        <v>1071</v>
      </c>
      <c r="M339" t="s">
        <v>1072</v>
      </c>
      <c r="N339" t="s">
        <v>1073</v>
      </c>
      <c r="O339" t="s">
        <v>1074</v>
      </c>
      <c r="P339" t="s">
        <v>1075</v>
      </c>
      <c r="Q339" t="s">
        <v>1076</v>
      </c>
      <c r="R339" t="s">
        <v>1077</v>
      </c>
      <c r="S339" t="s">
        <v>1078</v>
      </c>
      <c r="T339" t="s">
        <v>1079</v>
      </c>
      <c r="U339" t="s">
        <v>1080</v>
      </c>
      <c r="V339" t="s">
        <v>1081</v>
      </c>
      <c r="W339" t="s">
        <v>1082</v>
      </c>
      <c r="X339">
        <v>20240630</v>
      </c>
      <c r="Y339" t="s">
        <v>1083</v>
      </c>
      <c r="Z339" t="s">
        <v>1084</v>
      </c>
      <c r="AA339" s="11" t="str">
        <f t="shared" si="5"/>
        <v>EXEC [dbo].[BalanceGeneralInsertar] @Nivel ='Auxiliar',@Transaccional ='Sí',@CodigoCuentaContable ='23657501', @NombreCuentaContable ='Autorretenciones',@Identificacion ='900347399',@Sucursal ='',@NombreTercero ='EXPORT HEALTH SAS',@SaldoInicial = -194700,@MovimientoDebito = 0,@MovimientoCredito =0,@SaldoFinal = 0,@Fecha ='20240630',@IdentificacionCliente = '901434038';</v>
      </c>
      <c r="AB339" t="s">
        <v>1085</v>
      </c>
    </row>
    <row r="340" spans="1:28" x14ac:dyDescent="0.25">
      <c r="A340" s="2" t="s">
        <v>28</v>
      </c>
      <c r="B340" s="2" t="s">
        <v>29</v>
      </c>
      <c r="C340" s="2" t="s">
        <v>391</v>
      </c>
      <c r="D340" s="2" t="s">
        <v>390</v>
      </c>
      <c r="E340" s="2" t="s">
        <v>79</v>
      </c>
      <c r="F340" s="2"/>
      <c r="G340" s="2" t="s">
        <v>80</v>
      </c>
      <c r="H340" s="3">
        <v>-52980</v>
      </c>
      <c r="I340" s="3">
        <v>0</v>
      </c>
      <c r="J340" s="3">
        <v>0</v>
      </c>
      <c r="K340" s="3">
        <v>-52980</v>
      </c>
      <c r="L340" t="s">
        <v>1071</v>
      </c>
      <c r="M340" t="s">
        <v>1072</v>
      </c>
      <c r="N340" t="s">
        <v>1073</v>
      </c>
      <c r="O340" t="s">
        <v>1074</v>
      </c>
      <c r="P340" t="s">
        <v>1075</v>
      </c>
      <c r="Q340" t="s">
        <v>1076</v>
      </c>
      <c r="R340" t="s">
        <v>1077</v>
      </c>
      <c r="S340" t="s">
        <v>1078</v>
      </c>
      <c r="T340" t="s">
        <v>1079</v>
      </c>
      <c r="U340" t="s">
        <v>1080</v>
      </c>
      <c r="V340" t="s">
        <v>1081</v>
      </c>
      <c r="W340" t="s">
        <v>1082</v>
      </c>
      <c r="X340">
        <v>20240630</v>
      </c>
      <c r="Y340" t="s">
        <v>1083</v>
      </c>
      <c r="Z340" t="s">
        <v>1084</v>
      </c>
      <c r="AA340" s="11" t="str">
        <f t="shared" si="5"/>
        <v>EXEC [dbo].[BalanceGeneralInsertar] @Nivel ='Auxiliar',@Transaccional ='Sí',@CodigoCuentaContable ='23657501', @NombreCuentaContable ='Autorretenciones',@Identificacion ='901456421',@Sucursal ='',@NombreTercero ='DELUXE ORIENTE S.A.S',@SaldoInicial = -52980,@MovimientoDebito = 0,@MovimientoCredito =0,@SaldoFinal = 0,@Fecha ='20240630',@IdentificacionCliente = '901434038';</v>
      </c>
      <c r="AB340" t="s">
        <v>1085</v>
      </c>
    </row>
    <row r="341" spans="1:28" x14ac:dyDescent="0.25">
      <c r="A341" s="2" t="s">
        <v>28</v>
      </c>
      <c r="B341" s="2" t="s">
        <v>29</v>
      </c>
      <c r="C341" s="2" t="s">
        <v>391</v>
      </c>
      <c r="D341" s="2" t="s">
        <v>390</v>
      </c>
      <c r="E341" s="2" t="s">
        <v>81</v>
      </c>
      <c r="F341" s="2"/>
      <c r="G341" s="2" t="s">
        <v>82</v>
      </c>
      <c r="H341" s="3">
        <v>-38000</v>
      </c>
      <c r="I341" s="3">
        <v>0</v>
      </c>
      <c r="J341" s="3">
        <v>0</v>
      </c>
      <c r="K341" s="3">
        <v>-38000</v>
      </c>
      <c r="L341" t="s">
        <v>1071</v>
      </c>
      <c r="M341" t="s">
        <v>1072</v>
      </c>
      <c r="N341" t="s">
        <v>1073</v>
      </c>
      <c r="O341" t="s">
        <v>1074</v>
      </c>
      <c r="P341" t="s">
        <v>1075</v>
      </c>
      <c r="Q341" t="s">
        <v>1076</v>
      </c>
      <c r="R341" t="s">
        <v>1077</v>
      </c>
      <c r="S341" t="s">
        <v>1078</v>
      </c>
      <c r="T341" t="s">
        <v>1079</v>
      </c>
      <c r="U341" t="s">
        <v>1080</v>
      </c>
      <c r="V341" t="s">
        <v>1081</v>
      </c>
      <c r="W341" t="s">
        <v>1082</v>
      </c>
      <c r="X341">
        <v>20240630</v>
      </c>
      <c r="Y341" t="s">
        <v>1083</v>
      </c>
      <c r="Z341" t="s">
        <v>1084</v>
      </c>
      <c r="AA341" s="11" t="str">
        <f t="shared" si="5"/>
        <v>EXEC [dbo].[BalanceGeneralInsertar] @Nivel ='Auxiliar',@Transaccional ='Sí',@CodigoCuentaContable ='23657501', @NombreCuentaContable ='Autorretenciones',@Identificacion ='1067897357',@Sucursal ='',@NombreTercero ='KATERINE SAEZ ZABALETA',@SaldoInicial = -38000,@MovimientoDebito = 0,@MovimientoCredito =0,@SaldoFinal = 0,@Fecha ='20240630',@IdentificacionCliente = '901434038';</v>
      </c>
      <c r="AB341" t="s">
        <v>1085</v>
      </c>
    </row>
    <row r="342" spans="1:28" x14ac:dyDescent="0.25">
      <c r="A342" s="2" t="s">
        <v>28</v>
      </c>
      <c r="B342" s="2" t="s">
        <v>29</v>
      </c>
      <c r="C342" s="2" t="s">
        <v>391</v>
      </c>
      <c r="D342" s="2" t="s">
        <v>390</v>
      </c>
      <c r="E342" s="2" t="s">
        <v>141</v>
      </c>
      <c r="F342" s="2"/>
      <c r="G342" s="2" t="s">
        <v>142</v>
      </c>
      <c r="H342" s="3">
        <v>-67227</v>
      </c>
      <c r="I342" s="3">
        <v>0</v>
      </c>
      <c r="J342" s="3">
        <v>0</v>
      </c>
      <c r="K342" s="3">
        <v>-67227</v>
      </c>
      <c r="L342" t="s">
        <v>1071</v>
      </c>
      <c r="M342" t="s">
        <v>1072</v>
      </c>
      <c r="N342" t="s">
        <v>1073</v>
      </c>
      <c r="O342" t="s">
        <v>1074</v>
      </c>
      <c r="P342" t="s">
        <v>1075</v>
      </c>
      <c r="Q342" t="s">
        <v>1076</v>
      </c>
      <c r="R342" t="s">
        <v>1077</v>
      </c>
      <c r="S342" t="s">
        <v>1078</v>
      </c>
      <c r="T342" t="s">
        <v>1079</v>
      </c>
      <c r="U342" t="s">
        <v>1080</v>
      </c>
      <c r="V342" t="s">
        <v>1081</v>
      </c>
      <c r="W342" t="s">
        <v>1082</v>
      </c>
      <c r="X342">
        <v>20240630</v>
      </c>
      <c r="Y342" t="s">
        <v>1083</v>
      </c>
      <c r="Z342" t="s">
        <v>1084</v>
      </c>
      <c r="AA342" s="11" t="str">
        <f t="shared" si="5"/>
        <v>EXEC [dbo].[BalanceGeneralInsertar] @Nivel ='Auxiliar',@Transaccional ='Sí',@CodigoCuentaContable ='23657501', @NombreCuentaContable ='Autorretenciones',@Identificacion ='901451874',@Sucursal ='',@NombreTercero ='CABARCAS GROUP S.A.S.',@SaldoInicial = -67227,@MovimientoDebito = 0,@MovimientoCredito =0,@SaldoFinal = 0,@Fecha ='20240630',@IdentificacionCliente = '901434038';</v>
      </c>
      <c r="AB342" t="s">
        <v>1085</v>
      </c>
    </row>
    <row r="343" spans="1:28" x14ac:dyDescent="0.25">
      <c r="A343" s="2" t="s">
        <v>28</v>
      </c>
      <c r="B343" s="2" t="s">
        <v>29</v>
      </c>
      <c r="C343" s="2" t="s">
        <v>391</v>
      </c>
      <c r="D343" s="2" t="s">
        <v>390</v>
      </c>
      <c r="E343" s="2" t="s">
        <v>109</v>
      </c>
      <c r="F343" s="2"/>
      <c r="G343" s="2" t="s">
        <v>110</v>
      </c>
      <c r="H343" s="3">
        <v>-768</v>
      </c>
      <c r="I343" s="3">
        <v>0</v>
      </c>
      <c r="J343" s="3">
        <v>0</v>
      </c>
      <c r="K343" s="3">
        <v>-768</v>
      </c>
      <c r="L343" t="s">
        <v>1071</v>
      </c>
      <c r="M343" t="s">
        <v>1072</v>
      </c>
      <c r="N343" t="s">
        <v>1073</v>
      </c>
      <c r="O343" t="s">
        <v>1074</v>
      </c>
      <c r="P343" t="s">
        <v>1075</v>
      </c>
      <c r="Q343" t="s">
        <v>1076</v>
      </c>
      <c r="R343" t="s">
        <v>1077</v>
      </c>
      <c r="S343" t="s">
        <v>1078</v>
      </c>
      <c r="T343" t="s">
        <v>1079</v>
      </c>
      <c r="U343" t="s">
        <v>1080</v>
      </c>
      <c r="V343" t="s">
        <v>1081</v>
      </c>
      <c r="W343" t="s">
        <v>1082</v>
      </c>
      <c r="X343">
        <v>20240630</v>
      </c>
      <c r="Y343" t="s">
        <v>1083</v>
      </c>
      <c r="Z343" t="s">
        <v>1084</v>
      </c>
      <c r="AA343" s="11" t="str">
        <f t="shared" si="5"/>
        <v>EXEC [dbo].[BalanceGeneralInsertar] @Nivel ='Auxiliar',@Transaccional ='Sí',@CodigoCuentaContable ='23657501', @NombreCuentaContable ='Autorretenciones',@Identificacion ='53120695',@Sucursal ='',@NombreTercero ='ADRIANA MARCELA WALTEROS RINCON',@SaldoInicial = -768,@MovimientoDebito = 0,@MovimientoCredito =0,@SaldoFinal = 0,@Fecha ='20240630',@IdentificacionCliente = '901434038';</v>
      </c>
      <c r="AB343" t="s">
        <v>1085</v>
      </c>
    </row>
    <row r="344" spans="1:28" x14ac:dyDescent="0.25">
      <c r="A344" s="2" t="s">
        <v>28</v>
      </c>
      <c r="B344" s="2" t="s">
        <v>29</v>
      </c>
      <c r="C344" s="2" t="s">
        <v>391</v>
      </c>
      <c r="D344" s="2" t="s">
        <v>390</v>
      </c>
      <c r="E344" s="2" t="s">
        <v>87</v>
      </c>
      <c r="F344" s="2"/>
      <c r="G344" s="2" t="s">
        <v>88</v>
      </c>
      <c r="H344" s="3" t="s">
        <v>896</v>
      </c>
      <c r="I344" s="3">
        <v>0</v>
      </c>
      <c r="J344" s="3">
        <v>0</v>
      </c>
      <c r="K344" s="3" t="s">
        <v>896</v>
      </c>
      <c r="L344" t="s">
        <v>1071</v>
      </c>
      <c r="M344" t="s">
        <v>1072</v>
      </c>
      <c r="N344" t="s">
        <v>1073</v>
      </c>
      <c r="O344" t="s">
        <v>1074</v>
      </c>
      <c r="P344" t="s">
        <v>1075</v>
      </c>
      <c r="Q344" t="s">
        <v>1076</v>
      </c>
      <c r="R344" t="s">
        <v>1077</v>
      </c>
      <c r="S344" t="s">
        <v>1078</v>
      </c>
      <c r="T344" t="s">
        <v>1079</v>
      </c>
      <c r="U344" t="s">
        <v>1080</v>
      </c>
      <c r="V344" t="s">
        <v>1081</v>
      </c>
      <c r="W344" t="s">
        <v>1082</v>
      </c>
      <c r="X344">
        <v>20240630</v>
      </c>
      <c r="Y344" t="s">
        <v>1083</v>
      </c>
      <c r="Z344" t="s">
        <v>1084</v>
      </c>
      <c r="AA344" s="11" t="str">
        <f t="shared" si="5"/>
        <v>EXEC [dbo].[BalanceGeneralInsertar] @Nivel ='Auxiliar',@Transaccional ='Sí',@CodigoCuentaContable ='23657501', @NombreCuentaContable ='Autorretenciones',@Identificacion ='830054539',@Sucursal ='',@NombreTercero ='FIDUCIARIA BANCOLOMBIA S.A',@SaldoInicial = -19.24,@MovimientoDebito = 0,@MovimientoCredito =0,@SaldoFinal = 0,@Fecha ='20240630',@IdentificacionCliente = '901434038';</v>
      </c>
      <c r="AB344" t="s">
        <v>1085</v>
      </c>
    </row>
    <row r="345" spans="1:28" x14ac:dyDescent="0.25">
      <c r="A345" s="2" t="s">
        <v>28</v>
      </c>
      <c r="B345" s="2" t="s">
        <v>29</v>
      </c>
      <c r="C345" s="2" t="s">
        <v>391</v>
      </c>
      <c r="D345" s="2" t="s">
        <v>390</v>
      </c>
      <c r="E345" s="2" t="s">
        <v>89</v>
      </c>
      <c r="F345" s="2"/>
      <c r="G345" s="2" t="s">
        <v>90</v>
      </c>
      <c r="H345" s="3">
        <v>-542744</v>
      </c>
      <c r="I345" s="3">
        <v>0</v>
      </c>
      <c r="J345" s="3">
        <v>0</v>
      </c>
      <c r="K345" s="3">
        <v>-542744</v>
      </c>
      <c r="L345" t="s">
        <v>1071</v>
      </c>
      <c r="M345" t="s">
        <v>1072</v>
      </c>
      <c r="N345" t="s">
        <v>1073</v>
      </c>
      <c r="O345" t="s">
        <v>1074</v>
      </c>
      <c r="P345" t="s">
        <v>1075</v>
      </c>
      <c r="Q345" t="s">
        <v>1076</v>
      </c>
      <c r="R345" t="s">
        <v>1077</v>
      </c>
      <c r="S345" t="s">
        <v>1078</v>
      </c>
      <c r="T345" t="s">
        <v>1079</v>
      </c>
      <c r="U345" t="s">
        <v>1080</v>
      </c>
      <c r="V345" t="s">
        <v>1081</v>
      </c>
      <c r="W345" t="s">
        <v>1082</v>
      </c>
      <c r="X345">
        <v>20240630</v>
      </c>
      <c r="Y345" t="s">
        <v>1083</v>
      </c>
      <c r="Z345" t="s">
        <v>1084</v>
      </c>
      <c r="AA345" s="11" t="str">
        <f t="shared" si="5"/>
        <v>EXEC [dbo].[BalanceGeneralInsertar] @Nivel ='Auxiliar',@Transaccional ='Sí',@CodigoCuentaContable ='23657501', @NombreCuentaContable ='Autorretenciones',@Identificacion ='900192072',@Sucursal ='',@NombreTercero ='SEOUL MEDICINA ESTETICA INTEGRAL Y SPA S.A.',@SaldoInicial = -542744,@MovimientoDebito = 0,@MovimientoCredito =0,@SaldoFinal = 0,@Fecha ='20240630',@IdentificacionCliente = '901434038';</v>
      </c>
      <c r="AB345" t="s">
        <v>1085</v>
      </c>
    </row>
    <row r="346" spans="1:28" x14ac:dyDescent="0.25">
      <c r="A346" s="2" t="s">
        <v>28</v>
      </c>
      <c r="B346" s="2" t="s">
        <v>29</v>
      </c>
      <c r="C346" s="2" t="s">
        <v>391</v>
      </c>
      <c r="D346" s="2" t="s">
        <v>390</v>
      </c>
      <c r="E346" s="2" t="s">
        <v>91</v>
      </c>
      <c r="F346" s="2"/>
      <c r="G346" s="2" t="s">
        <v>92</v>
      </c>
      <c r="H346" s="3">
        <v>-5594</v>
      </c>
      <c r="I346" s="3">
        <v>0</v>
      </c>
      <c r="J346" s="3">
        <v>0</v>
      </c>
      <c r="K346" s="3">
        <v>-5594</v>
      </c>
      <c r="L346" t="s">
        <v>1071</v>
      </c>
      <c r="M346" t="s">
        <v>1072</v>
      </c>
      <c r="N346" t="s">
        <v>1073</v>
      </c>
      <c r="O346" t="s">
        <v>1074</v>
      </c>
      <c r="P346" t="s">
        <v>1075</v>
      </c>
      <c r="Q346" t="s">
        <v>1076</v>
      </c>
      <c r="R346" t="s">
        <v>1077</v>
      </c>
      <c r="S346" t="s">
        <v>1078</v>
      </c>
      <c r="T346" t="s">
        <v>1079</v>
      </c>
      <c r="U346" t="s">
        <v>1080</v>
      </c>
      <c r="V346" t="s">
        <v>1081</v>
      </c>
      <c r="W346" t="s">
        <v>1082</v>
      </c>
      <c r="X346">
        <v>20240630</v>
      </c>
      <c r="Y346" t="s">
        <v>1083</v>
      </c>
      <c r="Z346" t="s">
        <v>1084</v>
      </c>
      <c r="AA346" s="11" t="str">
        <f t="shared" si="5"/>
        <v>EXEC [dbo].[BalanceGeneralInsertar] @Nivel ='Auxiliar',@Transaccional ='Sí',@CodigoCuentaContable ='23657501', @NombreCuentaContable ='Autorretenciones',@Identificacion ='900308524',@Sucursal ='',@NombreTercero ='INTÉGRIM SAS',@SaldoInicial = -5594,@MovimientoDebito = 0,@MovimientoCredito =0,@SaldoFinal = 0,@Fecha ='20240630',@IdentificacionCliente = '901434038';</v>
      </c>
      <c r="AB346" t="s">
        <v>1085</v>
      </c>
    </row>
    <row r="347" spans="1:28" x14ac:dyDescent="0.25">
      <c r="A347" s="2" t="s">
        <v>28</v>
      </c>
      <c r="B347" s="2" t="s">
        <v>29</v>
      </c>
      <c r="C347" s="2" t="s">
        <v>391</v>
      </c>
      <c r="D347" s="2" t="s">
        <v>390</v>
      </c>
      <c r="E347" s="2" t="s">
        <v>93</v>
      </c>
      <c r="F347" s="2"/>
      <c r="G347" s="2" t="s">
        <v>94</v>
      </c>
      <c r="H347" s="3">
        <v>-134960</v>
      </c>
      <c r="I347" s="3">
        <v>0</v>
      </c>
      <c r="J347" s="3">
        <v>0</v>
      </c>
      <c r="K347" s="3">
        <v>-134960</v>
      </c>
      <c r="L347" t="s">
        <v>1071</v>
      </c>
      <c r="M347" t="s">
        <v>1072</v>
      </c>
      <c r="N347" t="s">
        <v>1073</v>
      </c>
      <c r="O347" t="s">
        <v>1074</v>
      </c>
      <c r="P347" t="s">
        <v>1075</v>
      </c>
      <c r="Q347" t="s">
        <v>1076</v>
      </c>
      <c r="R347" t="s">
        <v>1077</v>
      </c>
      <c r="S347" t="s">
        <v>1078</v>
      </c>
      <c r="T347" t="s">
        <v>1079</v>
      </c>
      <c r="U347" t="s">
        <v>1080</v>
      </c>
      <c r="V347" t="s">
        <v>1081</v>
      </c>
      <c r="W347" t="s">
        <v>1082</v>
      </c>
      <c r="X347">
        <v>20240630</v>
      </c>
      <c r="Y347" t="s">
        <v>1083</v>
      </c>
      <c r="Z347" t="s">
        <v>1084</v>
      </c>
      <c r="AA347" s="11" t="str">
        <f t="shared" si="5"/>
        <v>EXEC [dbo].[BalanceGeneralInsertar] @Nivel ='Auxiliar',@Transaccional ='Sí',@CodigoCuentaContable ='23657501', @NombreCuentaContable ='Autorretenciones',@Identificacion ='9900308524',@Sucursal ='',@NombreTercero ='INTÉGRIM S A S',@SaldoInicial = -134960,@MovimientoDebito = 0,@MovimientoCredito =0,@SaldoFinal = 0,@Fecha ='20240630',@IdentificacionCliente = '901434038';</v>
      </c>
      <c r="AB347" t="s">
        <v>1085</v>
      </c>
    </row>
    <row r="348" spans="1:28" x14ac:dyDescent="0.25">
      <c r="A348" s="2" t="s">
        <v>28</v>
      </c>
      <c r="B348" s="2" t="s">
        <v>29</v>
      </c>
      <c r="C348" s="2" t="s">
        <v>391</v>
      </c>
      <c r="D348" s="2" t="s">
        <v>390</v>
      </c>
      <c r="E348" s="2" t="s">
        <v>95</v>
      </c>
      <c r="F348" s="2"/>
      <c r="G348" s="2" t="s">
        <v>96</v>
      </c>
      <c r="H348" s="3">
        <v>-7016</v>
      </c>
      <c r="I348" s="3">
        <v>0</v>
      </c>
      <c r="J348" s="3">
        <v>0</v>
      </c>
      <c r="K348" s="3">
        <v>-7016</v>
      </c>
      <c r="L348" t="s">
        <v>1071</v>
      </c>
      <c r="M348" t="s">
        <v>1072</v>
      </c>
      <c r="N348" t="s">
        <v>1073</v>
      </c>
      <c r="O348" t="s">
        <v>1074</v>
      </c>
      <c r="P348" t="s">
        <v>1075</v>
      </c>
      <c r="Q348" t="s">
        <v>1076</v>
      </c>
      <c r="R348" t="s">
        <v>1077</v>
      </c>
      <c r="S348" t="s">
        <v>1078</v>
      </c>
      <c r="T348" t="s">
        <v>1079</v>
      </c>
      <c r="U348" t="s">
        <v>1080</v>
      </c>
      <c r="V348" t="s">
        <v>1081</v>
      </c>
      <c r="W348" t="s">
        <v>1082</v>
      </c>
      <c r="X348">
        <v>20240630</v>
      </c>
      <c r="Y348" t="s">
        <v>1083</v>
      </c>
      <c r="Z348" t="s">
        <v>1084</v>
      </c>
      <c r="AA348" s="11" t="str">
        <f t="shared" si="5"/>
        <v>EXEC [dbo].[BalanceGeneralInsertar] @Nivel ='Auxiliar',@Transaccional ='Sí',@CodigoCuentaContable ='23657501', @NombreCuentaContable ='Autorretenciones',@Identificacion ='900362559',@Sucursal ='',@NombreTercero ='INSTITUTO DE CIRUGÍA PLÁSTICA RECONSTRUCTIVA Y SALUD ESTÉTICAVITALUM I.P.S S.A.S',@SaldoInicial = -7016,@MovimientoDebito = 0,@MovimientoCredito =0,@SaldoFinal = 0,@Fecha ='20240630',@IdentificacionCliente = '901434038';</v>
      </c>
      <c r="AB348" t="s">
        <v>1085</v>
      </c>
    </row>
    <row r="349" spans="1:28" x14ac:dyDescent="0.25">
      <c r="A349" s="2" t="s">
        <v>25</v>
      </c>
      <c r="B349" s="2" t="s">
        <v>16</v>
      </c>
      <c r="C349" s="2" t="s">
        <v>392</v>
      </c>
      <c r="D349" s="2" t="s">
        <v>393</v>
      </c>
      <c r="E349" s="2"/>
      <c r="F349" s="2"/>
      <c r="G349" s="2"/>
      <c r="H349" s="3" t="s">
        <v>884</v>
      </c>
      <c r="I349" s="3">
        <v>0</v>
      </c>
      <c r="J349" s="3">
        <v>0</v>
      </c>
      <c r="K349" s="3" t="s">
        <v>884</v>
      </c>
      <c r="L349" t="s">
        <v>1071</v>
      </c>
      <c r="M349" t="s">
        <v>1072</v>
      </c>
      <c r="N349" t="s">
        <v>1073</v>
      </c>
      <c r="O349" t="s">
        <v>1074</v>
      </c>
      <c r="P349" t="s">
        <v>1075</v>
      </c>
      <c r="Q349" t="s">
        <v>1076</v>
      </c>
      <c r="R349" t="s">
        <v>1077</v>
      </c>
      <c r="S349" t="s">
        <v>1078</v>
      </c>
      <c r="T349" t="s">
        <v>1079</v>
      </c>
      <c r="U349" t="s">
        <v>1080</v>
      </c>
      <c r="V349" t="s">
        <v>1081</v>
      </c>
      <c r="W349" t="s">
        <v>1082</v>
      </c>
      <c r="X349">
        <v>20240630</v>
      </c>
      <c r="Y349" t="s">
        <v>1083</v>
      </c>
      <c r="Z349" t="s">
        <v>1084</v>
      </c>
      <c r="AA349" s="11" t="str">
        <f t="shared" si="5"/>
        <v>EXEC [dbo].[BalanceGeneralInsertar] @Nivel ='Subcuenta',@Transaccional ='No',@CodigoCuentaContable ='236590', @NombreCuentaContable ='Retefuente por pagar',@Identificacion ='',@Sucursal ='',@NombreTercero ='',@SaldoInicial = 2.85,@MovimientoDebito = 0,@MovimientoCredito =0,@SaldoFinal = 0,@Fecha ='20240630',@IdentificacionCliente = '901434038';</v>
      </c>
      <c r="AB349" t="s">
        <v>1085</v>
      </c>
    </row>
    <row r="350" spans="1:28" x14ac:dyDescent="0.25">
      <c r="A350" s="2" t="s">
        <v>28</v>
      </c>
      <c r="B350" s="2" t="s">
        <v>29</v>
      </c>
      <c r="C350" s="2" t="s">
        <v>394</v>
      </c>
      <c r="D350" s="2" t="s">
        <v>393</v>
      </c>
      <c r="E350" s="2" t="s">
        <v>39</v>
      </c>
      <c r="F350" s="2"/>
      <c r="G350" s="2" t="s">
        <v>40</v>
      </c>
      <c r="H350" s="3" t="s">
        <v>897</v>
      </c>
      <c r="I350" s="3">
        <v>0</v>
      </c>
      <c r="J350" s="3">
        <v>0</v>
      </c>
      <c r="K350" s="3" t="s">
        <v>897</v>
      </c>
      <c r="L350" t="s">
        <v>1071</v>
      </c>
      <c r="M350" t="s">
        <v>1072</v>
      </c>
      <c r="N350" t="s">
        <v>1073</v>
      </c>
      <c r="O350" t="s">
        <v>1074</v>
      </c>
      <c r="P350" t="s">
        <v>1075</v>
      </c>
      <c r="Q350" t="s">
        <v>1076</v>
      </c>
      <c r="R350" t="s">
        <v>1077</v>
      </c>
      <c r="S350" t="s">
        <v>1078</v>
      </c>
      <c r="T350" t="s">
        <v>1079</v>
      </c>
      <c r="U350" t="s">
        <v>1080</v>
      </c>
      <c r="V350" t="s">
        <v>1081</v>
      </c>
      <c r="W350" t="s">
        <v>1082</v>
      </c>
      <c r="X350">
        <v>20240630</v>
      </c>
      <c r="Y350" t="s">
        <v>1083</v>
      </c>
      <c r="Z350" t="s">
        <v>1084</v>
      </c>
      <c r="AA350" s="11" t="str">
        <f t="shared" si="5"/>
        <v>EXEC [dbo].[BalanceGeneralInsertar] @Nivel ='Auxiliar',@Transaccional ='Sí',@CodigoCuentaContable ='23659001', @NombreCuentaContable ='Retefuente por pagar',@Identificacion ='800197268',@Sucursal ='',@NombreTercero ='DIAN',@SaldoInicial = -2486390.15,@MovimientoDebito = 0,@MovimientoCredito =0,@SaldoFinal = 0,@Fecha ='20240630',@IdentificacionCliente = '901434038';</v>
      </c>
      <c r="AB350" t="s">
        <v>1085</v>
      </c>
    </row>
    <row r="351" spans="1:28" x14ac:dyDescent="0.25">
      <c r="A351" s="2" t="s">
        <v>28</v>
      </c>
      <c r="B351" s="2" t="s">
        <v>29</v>
      </c>
      <c r="C351" s="2" t="s">
        <v>394</v>
      </c>
      <c r="D351" s="2" t="s">
        <v>393</v>
      </c>
      <c r="E351" s="2" t="s">
        <v>395</v>
      </c>
      <c r="F351" s="2"/>
      <c r="G351" s="2" t="s">
        <v>396</v>
      </c>
      <c r="H351" s="3">
        <v>2486393</v>
      </c>
      <c r="I351" s="3">
        <v>0</v>
      </c>
      <c r="J351" s="3">
        <v>0</v>
      </c>
      <c r="K351" s="3">
        <v>2486393</v>
      </c>
      <c r="L351" t="s">
        <v>1071</v>
      </c>
      <c r="M351" t="s">
        <v>1072</v>
      </c>
      <c r="N351" t="s">
        <v>1073</v>
      </c>
      <c r="O351" t="s">
        <v>1074</v>
      </c>
      <c r="P351" t="s">
        <v>1075</v>
      </c>
      <c r="Q351" t="s">
        <v>1076</v>
      </c>
      <c r="R351" t="s">
        <v>1077</v>
      </c>
      <c r="S351" t="s">
        <v>1078</v>
      </c>
      <c r="T351" t="s">
        <v>1079</v>
      </c>
      <c r="U351" t="s">
        <v>1080</v>
      </c>
      <c r="V351" t="s">
        <v>1081</v>
      </c>
      <c r="W351" t="s">
        <v>1082</v>
      </c>
      <c r="X351">
        <v>20240630</v>
      </c>
      <c r="Y351" t="s">
        <v>1083</v>
      </c>
      <c r="Z351" t="s">
        <v>1084</v>
      </c>
      <c r="AA351" s="11" t="str">
        <f t="shared" si="5"/>
        <v>EXEC [dbo].[BalanceGeneralInsertar] @Nivel ='Auxiliar',@Transaccional ='Sí',@CodigoCuentaContable ='23659001', @NombreCuentaContable ='Retefuente por pagar',@Identificacion ='817001773',@Sucursal ='',@NombreTercero ='A.I.C.',@SaldoInicial = 2486393,@MovimientoDebito = 0,@MovimientoCredito =0,@SaldoFinal = 0,@Fecha ='20240630',@IdentificacionCliente = '901434038';</v>
      </c>
      <c r="AB351" t="s">
        <v>1085</v>
      </c>
    </row>
    <row r="352" spans="1:28" x14ac:dyDescent="0.25">
      <c r="A352" s="2" t="s">
        <v>22</v>
      </c>
      <c r="B352" s="2" t="s">
        <v>16</v>
      </c>
      <c r="C352" s="2" t="s">
        <v>397</v>
      </c>
      <c r="D352" s="2" t="s">
        <v>179</v>
      </c>
      <c r="E352" s="2"/>
      <c r="F352" s="2"/>
      <c r="G352" s="2"/>
      <c r="H352" s="3">
        <v>-34200</v>
      </c>
      <c r="I352" s="3">
        <v>0</v>
      </c>
      <c r="J352" s="3">
        <v>0</v>
      </c>
      <c r="K352" s="3">
        <v>-34200</v>
      </c>
      <c r="L352" t="s">
        <v>1071</v>
      </c>
      <c r="M352" t="s">
        <v>1072</v>
      </c>
      <c r="N352" t="s">
        <v>1073</v>
      </c>
      <c r="O352" t="s">
        <v>1074</v>
      </c>
      <c r="P352" t="s">
        <v>1075</v>
      </c>
      <c r="Q352" t="s">
        <v>1076</v>
      </c>
      <c r="R352" t="s">
        <v>1077</v>
      </c>
      <c r="S352" t="s">
        <v>1078</v>
      </c>
      <c r="T352" t="s">
        <v>1079</v>
      </c>
      <c r="U352" t="s">
        <v>1080</v>
      </c>
      <c r="V352" t="s">
        <v>1081</v>
      </c>
      <c r="W352" t="s">
        <v>1082</v>
      </c>
      <c r="X352">
        <v>20240630</v>
      </c>
      <c r="Y352" t="s">
        <v>1083</v>
      </c>
      <c r="Z352" t="s">
        <v>1084</v>
      </c>
      <c r="AA352" s="11" t="str">
        <f t="shared" si="5"/>
        <v>EXEC [dbo].[BalanceGeneralInsertar] @Nivel ='Cuenta',@Transaccional ='No',@CodigoCuentaContable ='2367', @NombreCuentaContable ='Impuesto a las ventas retenido',@Identificacion ='',@Sucursal ='',@NombreTercero ='',@SaldoInicial = -34200,@MovimientoDebito = 0,@MovimientoCredito =0,@SaldoFinal = 0,@Fecha ='20240630',@IdentificacionCliente = '901434038';</v>
      </c>
      <c r="AB352" t="s">
        <v>1085</v>
      </c>
    </row>
    <row r="353" spans="1:28" x14ac:dyDescent="0.25">
      <c r="A353" s="2" t="s">
        <v>25</v>
      </c>
      <c r="B353" s="2" t="s">
        <v>16</v>
      </c>
      <c r="C353" s="2" t="s">
        <v>398</v>
      </c>
      <c r="D353" s="2" t="s">
        <v>179</v>
      </c>
      <c r="E353" s="2"/>
      <c r="F353" s="2"/>
      <c r="G353" s="2"/>
      <c r="H353" s="3">
        <v>-34200</v>
      </c>
      <c r="I353" s="3">
        <v>0</v>
      </c>
      <c r="J353" s="3">
        <v>0</v>
      </c>
      <c r="K353" s="3">
        <v>-34200</v>
      </c>
      <c r="L353" t="s">
        <v>1071</v>
      </c>
      <c r="M353" t="s">
        <v>1072</v>
      </c>
      <c r="N353" t="s">
        <v>1073</v>
      </c>
      <c r="O353" t="s">
        <v>1074</v>
      </c>
      <c r="P353" t="s">
        <v>1075</v>
      </c>
      <c r="Q353" t="s">
        <v>1076</v>
      </c>
      <c r="R353" t="s">
        <v>1077</v>
      </c>
      <c r="S353" t="s">
        <v>1078</v>
      </c>
      <c r="T353" t="s">
        <v>1079</v>
      </c>
      <c r="U353" t="s">
        <v>1080</v>
      </c>
      <c r="V353" t="s">
        <v>1081</v>
      </c>
      <c r="W353" t="s">
        <v>1082</v>
      </c>
      <c r="X353">
        <v>20240630</v>
      </c>
      <c r="Y353" t="s">
        <v>1083</v>
      </c>
      <c r="Z353" t="s">
        <v>1084</v>
      </c>
      <c r="AA353" s="11" t="str">
        <f t="shared" si="5"/>
        <v>EXEC [dbo].[BalanceGeneralInsertar] @Nivel ='Subcuenta',@Transaccional ='No',@CodigoCuentaContable ='236701', @NombreCuentaContable ='Impuesto a las ventas retenido',@Identificacion ='',@Sucursal ='',@NombreTercero ='',@SaldoInicial = -34200,@MovimientoDebito = 0,@MovimientoCredito =0,@SaldoFinal = 0,@Fecha ='20240630',@IdentificacionCliente = '901434038';</v>
      </c>
      <c r="AB353" t="s">
        <v>1085</v>
      </c>
    </row>
    <row r="354" spans="1:28" x14ac:dyDescent="0.25">
      <c r="A354" s="2" t="s">
        <v>28</v>
      </c>
      <c r="B354" s="2" t="s">
        <v>29</v>
      </c>
      <c r="C354" s="2" t="s">
        <v>399</v>
      </c>
      <c r="D354" s="2" t="s">
        <v>181</v>
      </c>
      <c r="E354" s="2" t="s">
        <v>113</v>
      </c>
      <c r="F354" s="2"/>
      <c r="G354" s="2" t="s">
        <v>114</v>
      </c>
      <c r="H354" s="3">
        <v>-34200</v>
      </c>
      <c r="I354" s="3">
        <v>0</v>
      </c>
      <c r="J354" s="3">
        <v>0</v>
      </c>
      <c r="K354" s="3">
        <v>-34200</v>
      </c>
      <c r="L354" t="s">
        <v>1071</v>
      </c>
      <c r="M354" t="s">
        <v>1072</v>
      </c>
      <c r="N354" t="s">
        <v>1073</v>
      </c>
      <c r="O354" t="s">
        <v>1074</v>
      </c>
      <c r="P354" t="s">
        <v>1075</v>
      </c>
      <c r="Q354" t="s">
        <v>1076</v>
      </c>
      <c r="R354" t="s">
        <v>1077</v>
      </c>
      <c r="S354" t="s">
        <v>1078</v>
      </c>
      <c r="T354" t="s">
        <v>1079</v>
      </c>
      <c r="U354" t="s">
        <v>1080</v>
      </c>
      <c r="V354" t="s">
        <v>1081</v>
      </c>
      <c r="W354" t="s">
        <v>1082</v>
      </c>
      <c r="X354">
        <v>20240630</v>
      </c>
      <c r="Y354" t="s">
        <v>1083</v>
      </c>
      <c r="Z354" t="s">
        <v>1084</v>
      </c>
      <c r="AA354" s="11" t="str">
        <f t="shared" si="5"/>
        <v>EXEC [dbo].[BalanceGeneralInsertar] @Nivel ='Auxiliar',@Transaccional ='Sí',@CodigoCuentaContable ='23670101', @NombreCuentaContable ='Impuesto a las ventas retenido 15%',@Identificacion ='901398776',@Sucursal ='',@NombreTercero ='SERVICIOS FINANCIEROS OPERATIVOS FINANCIEROS SAS',@SaldoInicial = -34200,@MovimientoDebito = 0,@MovimientoCredito =0,@SaldoFinal = 0,@Fecha ='20240630',@IdentificacionCliente = '901434038';</v>
      </c>
      <c r="AB354" t="s">
        <v>1085</v>
      </c>
    </row>
    <row r="355" spans="1:28" x14ac:dyDescent="0.25">
      <c r="A355" s="2" t="s">
        <v>22</v>
      </c>
      <c r="B355" s="2" t="s">
        <v>16</v>
      </c>
      <c r="C355" s="2" t="s">
        <v>400</v>
      </c>
      <c r="D355" s="2" t="s">
        <v>185</v>
      </c>
      <c r="E355" s="2"/>
      <c r="F355" s="2"/>
      <c r="G355" s="2"/>
      <c r="H355" s="3" t="s">
        <v>898</v>
      </c>
      <c r="I355" s="3">
        <v>0</v>
      </c>
      <c r="J355" s="3">
        <v>0</v>
      </c>
      <c r="K355" s="3" t="s">
        <v>898</v>
      </c>
      <c r="L355" t="s">
        <v>1071</v>
      </c>
      <c r="M355" t="s">
        <v>1072</v>
      </c>
      <c r="N355" t="s">
        <v>1073</v>
      </c>
      <c r="O355" t="s">
        <v>1074</v>
      </c>
      <c r="P355" t="s">
        <v>1075</v>
      </c>
      <c r="Q355" t="s">
        <v>1076</v>
      </c>
      <c r="R355" t="s">
        <v>1077</v>
      </c>
      <c r="S355" t="s">
        <v>1078</v>
      </c>
      <c r="T355" t="s">
        <v>1079</v>
      </c>
      <c r="U355" t="s">
        <v>1080</v>
      </c>
      <c r="V355" t="s">
        <v>1081</v>
      </c>
      <c r="W355" t="s">
        <v>1082</v>
      </c>
      <c r="X355">
        <v>20240630</v>
      </c>
      <c r="Y355" t="s">
        <v>1083</v>
      </c>
      <c r="Z355" t="s">
        <v>1084</v>
      </c>
      <c r="AA355" s="11" t="str">
        <f t="shared" si="5"/>
        <v>EXEC [dbo].[BalanceGeneralInsertar] @Nivel ='Cuenta',@Transaccional ='No',@CodigoCuentaContable ='2368', @NombreCuentaContable ='Impuesto de industria y comercio retenido',@Identificacion ='',@Sucursal ='',@NombreTercero ='',@SaldoInicial = 1660636.8,@MovimientoDebito = 0,@MovimientoCredito =0,@SaldoFinal = 0,@Fecha ='20240630',@IdentificacionCliente = '901434038';</v>
      </c>
      <c r="AB355" t="s">
        <v>1085</v>
      </c>
    </row>
    <row r="356" spans="1:28" x14ac:dyDescent="0.25">
      <c r="A356" s="2" t="s">
        <v>25</v>
      </c>
      <c r="B356" s="2" t="s">
        <v>16</v>
      </c>
      <c r="C356" s="2" t="s">
        <v>401</v>
      </c>
      <c r="D356" s="2" t="s">
        <v>402</v>
      </c>
      <c r="E356" s="2"/>
      <c r="F356" s="2"/>
      <c r="G356" s="2"/>
      <c r="H356" s="3" t="s">
        <v>898</v>
      </c>
      <c r="I356" s="3">
        <v>0</v>
      </c>
      <c r="J356" s="3">
        <v>0</v>
      </c>
      <c r="K356" s="3" t="s">
        <v>898</v>
      </c>
      <c r="L356" t="s">
        <v>1071</v>
      </c>
      <c r="M356" t="s">
        <v>1072</v>
      </c>
      <c r="N356" t="s">
        <v>1073</v>
      </c>
      <c r="O356" t="s">
        <v>1074</v>
      </c>
      <c r="P356" t="s">
        <v>1075</v>
      </c>
      <c r="Q356" t="s">
        <v>1076</v>
      </c>
      <c r="R356" t="s">
        <v>1077</v>
      </c>
      <c r="S356" t="s">
        <v>1078</v>
      </c>
      <c r="T356" t="s">
        <v>1079</v>
      </c>
      <c r="U356" t="s">
        <v>1080</v>
      </c>
      <c r="V356" t="s">
        <v>1081</v>
      </c>
      <c r="W356" t="s">
        <v>1082</v>
      </c>
      <c r="X356">
        <v>20240630</v>
      </c>
      <c r="Y356" t="s">
        <v>1083</v>
      </c>
      <c r="Z356" t="s">
        <v>1084</v>
      </c>
      <c r="AA356" s="11" t="str">
        <f t="shared" si="5"/>
        <v>EXEC [dbo].[BalanceGeneralInsertar] @Nivel ='Subcuenta',@Transaccional ='No',@CodigoCuentaContable ='236805', @NombreCuentaContable ='Retención industria y comercio Ica',@Identificacion ='',@Sucursal ='',@NombreTercero ='',@SaldoInicial = 1660636.8,@MovimientoDebito = 0,@MovimientoCredito =0,@SaldoFinal = 0,@Fecha ='20240630',@IdentificacionCliente = '901434038';</v>
      </c>
      <c r="AB356" t="s">
        <v>1085</v>
      </c>
    </row>
    <row r="357" spans="1:28" x14ac:dyDescent="0.25">
      <c r="A357" s="2" t="s">
        <v>28</v>
      </c>
      <c r="B357" s="2" t="s">
        <v>29</v>
      </c>
      <c r="C357" s="2" t="s">
        <v>403</v>
      </c>
      <c r="D357" s="2" t="s">
        <v>404</v>
      </c>
      <c r="E357" s="2" t="s">
        <v>33</v>
      </c>
      <c r="F357" s="2"/>
      <c r="G357" s="2" t="s">
        <v>34</v>
      </c>
      <c r="H357" s="3" t="s">
        <v>899</v>
      </c>
      <c r="I357" s="3">
        <v>0</v>
      </c>
      <c r="J357" s="3">
        <v>0</v>
      </c>
      <c r="K357" s="3" t="s">
        <v>899</v>
      </c>
      <c r="L357" t="s">
        <v>1071</v>
      </c>
      <c r="M357" t="s">
        <v>1072</v>
      </c>
      <c r="N357" t="s">
        <v>1073</v>
      </c>
      <c r="O357" t="s">
        <v>1074</v>
      </c>
      <c r="P357" t="s">
        <v>1075</v>
      </c>
      <c r="Q357" t="s">
        <v>1076</v>
      </c>
      <c r="R357" t="s">
        <v>1077</v>
      </c>
      <c r="S357" t="s">
        <v>1078</v>
      </c>
      <c r="T357" t="s">
        <v>1079</v>
      </c>
      <c r="U357" t="s">
        <v>1080</v>
      </c>
      <c r="V357" t="s">
        <v>1081</v>
      </c>
      <c r="W357" t="s">
        <v>1082</v>
      </c>
      <c r="X357">
        <v>20240630</v>
      </c>
      <c r="Y357" t="s">
        <v>1083</v>
      </c>
      <c r="Z357" t="s">
        <v>1084</v>
      </c>
      <c r="AA357" s="11" t="str">
        <f t="shared" si="5"/>
        <v>EXEC [dbo].[BalanceGeneralInsertar] @Nivel ='Auxiliar',@Transaccional ='Sí',@CodigoCuentaContable ='23680501', @NombreCuentaContable ='Reteica 11,04',@Identificacion ='899999061',@Sucursal ='',@NombreTercero ='Secretaría Distrital de Hacienda',@SaldoInicial = 10919628.24,@MovimientoDebito = 0,@MovimientoCredito =0,@SaldoFinal = 0,@Fecha ='20240630',@IdentificacionCliente = '901434038';</v>
      </c>
      <c r="AB357" t="s">
        <v>1085</v>
      </c>
    </row>
    <row r="358" spans="1:28" x14ac:dyDescent="0.25">
      <c r="A358" s="2" t="s">
        <v>28</v>
      </c>
      <c r="B358" s="2" t="s">
        <v>29</v>
      </c>
      <c r="C358" s="2" t="s">
        <v>403</v>
      </c>
      <c r="D358" s="2" t="s">
        <v>404</v>
      </c>
      <c r="E358" s="2" t="s">
        <v>121</v>
      </c>
      <c r="F358" s="2"/>
      <c r="G358" s="2" t="s">
        <v>122</v>
      </c>
      <c r="H358" s="3">
        <v>-982560</v>
      </c>
      <c r="I358" s="3">
        <v>0</v>
      </c>
      <c r="J358" s="3">
        <v>0</v>
      </c>
      <c r="K358" s="3">
        <v>-982560</v>
      </c>
      <c r="L358" t="s">
        <v>1071</v>
      </c>
      <c r="M358" t="s">
        <v>1072</v>
      </c>
      <c r="N358" t="s">
        <v>1073</v>
      </c>
      <c r="O358" t="s">
        <v>1074</v>
      </c>
      <c r="P358" t="s">
        <v>1075</v>
      </c>
      <c r="Q358" t="s">
        <v>1076</v>
      </c>
      <c r="R358" t="s">
        <v>1077</v>
      </c>
      <c r="S358" t="s">
        <v>1078</v>
      </c>
      <c r="T358" t="s">
        <v>1079</v>
      </c>
      <c r="U358" t="s">
        <v>1080</v>
      </c>
      <c r="V358" t="s">
        <v>1081</v>
      </c>
      <c r="W358" t="s">
        <v>1082</v>
      </c>
      <c r="X358">
        <v>20240630</v>
      </c>
      <c r="Y358" t="s">
        <v>1083</v>
      </c>
      <c r="Z358" t="s">
        <v>1084</v>
      </c>
      <c r="AA358" s="11" t="str">
        <f t="shared" si="5"/>
        <v>EXEC [dbo].[BalanceGeneralInsertar] @Nivel ='Auxiliar',@Transaccional ='Sí',@CodigoCuentaContable ='23680501', @NombreCuentaContable ='Reteica 11,04',@Identificacion ='92555120',@Sucursal ='',@NombreTercero ='JOSE OMAR VELILLA',@SaldoInicial = -982560,@MovimientoDebito = 0,@MovimientoCredito =0,@SaldoFinal = 0,@Fecha ='20240630',@IdentificacionCliente = '901434038';</v>
      </c>
      <c r="AB358" t="s">
        <v>1085</v>
      </c>
    </row>
    <row r="359" spans="1:28" x14ac:dyDescent="0.25">
      <c r="A359" s="2" t="s">
        <v>28</v>
      </c>
      <c r="B359" s="2" t="s">
        <v>29</v>
      </c>
      <c r="C359" s="2" t="s">
        <v>403</v>
      </c>
      <c r="D359" s="2" t="s">
        <v>404</v>
      </c>
      <c r="E359" s="2" t="s">
        <v>99</v>
      </c>
      <c r="F359" s="2"/>
      <c r="G359" s="2" t="s">
        <v>100</v>
      </c>
      <c r="H359" s="3" t="s">
        <v>900</v>
      </c>
      <c r="I359" s="3">
        <v>0</v>
      </c>
      <c r="J359" s="3">
        <v>0</v>
      </c>
      <c r="K359" s="3" t="s">
        <v>900</v>
      </c>
      <c r="L359" t="s">
        <v>1071</v>
      </c>
      <c r="M359" t="s">
        <v>1072</v>
      </c>
      <c r="N359" t="s">
        <v>1073</v>
      </c>
      <c r="O359" t="s">
        <v>1074</v>
      </c>
      <c r="P359" t="s">
        <v>1075</v>
      </c>
      <c r="Q359" t="s">
        <v>1076</v>
      </c>
      <c r="R359" t="s">
        <v>1077</v>
      </c>
      <c r="S359" t="s">
        <v>1078</v>
      </c>
      <c r="T359" t="s">
        <v>1079</v>
      </c>
      <c r="U359" t="s">
        <v>1080</v>
      </c>
      <c r="V359" t="s">
        <v>1081</v>
      </c>
      <c r="W359" t="s">
        <v>1082</v>
      </c>
      <c r="X359">
        <v>20240630</v>
      </c>
      <c r="Y359" t="s">
        <v>1083</v>
      </c>
      <c r="Z359" t="s">
        <v>1084</v>
      </c>
      <c r="AA359" s="11" t="str">
        <f t="shared" si="5"/>
        <v>EXEC [dbo].[BalanceGeneralInsertar] @Nivel ='Auxiliar',@Transaccional ='Sí',@CodigoCuentaContable ='23680501', @NombreCuentaContable ='Reteica 11,04',@Identificacion ='900397663',@Sucursal ='',@NombreTercero ='BTL COLOMBIA SAS',@SaldoInicial = -8276431.44,@MovimientoDebito = 0,@MovimientoCredito =0,@SaldoFinal = 0,@Fecha ='20240630',@IdentificacionCliente = '901434038';</v>
      </c>
      <c r="AB359" t="s">
        <v>1085</v>
      </c>
    </row>
    <row r="360" spans="1:28" x14ac:dyDescent="0.25">
      <c r="A360" s="2" t="s">
        <v>28</v>
      </c>
      <c r="B360" s="2" t="s">
        <v>29</v>
      </c>
      <c r="C360" s="2" t="s">
        <v>405</v>
      </c>
      <c r="D360" s="2" t="s">
        <v>406</v>
      </c>
      <c r="E360" s="2" t="s">
        <v>33</v>
      </c>
      <c r="F360" s="2"/>
      <c r="G360" s="2" t="s">
        <v>34</v>
      </c>
      <c r="H360" s="3" t="s">
        <v>901</v>
      </c>
      <c r="I360" s="3">
        <v>0</v>
      </c>
      <c r="J360" s="3">
        <v>0</v>
      </c>
      <c r="K360" s="3" t="s">
        <v>901</v>
      </c>
      <c r="L360" t="s">
        <v>1071</v>
      </c>
      <c r="M360" t="s">
        <v>1072</v>
      </c>
      <c r="N360" t="s">
        <v>1073</v>
      </c>
      <c r="O360" t="s">
        <v>1074</v>
      </c>
      <c r="P360" t="s">
        <v>1075</v>
      </c>
      <c r="Q360" t="s">
        <v>1076</v>
      </c>
      <c r="R360" t="s">
        <v>1077</v>
      </c>
      <c r="S360" t="s">
        <v>1078</v>
      </c>
      <c r="T360" t="s">
        <v>1079</v>
      </c>
      <c r="U360" t="s">
        <v>1080</v>
      </c>
      <c r="V360" t="s">
        <v>1081</v>
      </c>
      <c r="W360" t="s">
        <v>1082</v>
      </c>
      <c r="X360">
        <v>20240630</v>
      </c>
      <c r="Y360" t="s">
        <v>1083</v>
      </c>
      <c r="Z360" t="s">
        <v>1084</v>
      </c>
      <c r="AA360" s="11" t="str">
        <f t="shared" si="5"/>
        <v>EXEC [dbo].[BalanceGeneralInsertar] @Nivel ='Auxiliar',@Transaccional ='Sí',@CodigoCuentaContable ='23680503', @NombreCuentaContable ='Reteica 13,8',@Identificacion ='899999061',@Sucursal ='',@NombreTercero ='Secretaría Distrital de Hacienda',@SaldoInicial = 2190.13,@MovimientoDebito = 0,@MovimientoCredito =0,@SaldoFinal = 0,@Fecha ='20240630',@IdentificacionCliente = '901434038';</v>
      </c>
      <c r="AB360" t="s">
        <v>1085</v>
      </c>
    </row>
    <row r="361" spans="1:28" x14ac:dyDescent="0.25">
      <c r="A361" s="2" t="s">
        <v>28</v>
      </c>
      <c r="B361" s="2" t="s">
        <v>29</v>
      </c>
      <c r="C361" s="2" t="s">
        <v>405</v>
      </c>
      <c r="D361" s="2" t="s">
        <v>406</v>
      </c>
      <c r="E361" s="2" t="s">
        <v>376</v>
      </c>
      <c r="F361" s="2"/>
      <c r="G361" s="2" t="s">
        <v>377</v>
      </c>
      <c r="H361" s="3" t="s">
        <v>902</v>
      </c>
      <c r="I361" s="3">
        <v>0</v>
      </c>
      <c r="J361" s="3">
        <v>0</v>
      </c>
      <c r="K361" s="3" t="s">
        <v>902</v>
      </c>
      <c r="L361" t="s">
        <v>1071</v>
      </c>
      <c r="M361" t="s">
        <v>1072</v>
      </c>
      <c r="N361" t="s">
        <v>1073</v>
      </c>
      <c r="O361" t="s">
        <v>1074</v>
      </c>
      <c r="P361" t="s">
        <v>1075</v>
      </c>
      <c r="Q361" t="s">
        <v>1076</v>
      </c>
      <c r="R361" t="s">
        <v>1077</v>
      </c>
      <c r="S361" t="s">
        <v>1078</v>
      </c>
      <c r="T361" t="s">
        <v>1079</v>
      </c>
      <c r="U361" t="s">
        <v>1080</v>
      </c>
      <c r="V361" t="s">
        <v>1081</v>
      </c>
      <c r="W361" t="s">
        <v>1082</v>
      </c>
      <c r="X361">
        <v>20240630</v>
      </c>
      <c r="Y361" t="s">
        <v>1083</v>
      </c>
      <c r="Z361" t="s">
        <v>1084</v>
      </c>
      <c r="AA361" s="11" t="str">
        <f t="shared" si="5"/>
        <v>EXEC [dbo].[BalanceGeneralInsertar] @Nivel ='Auxiliar',@Transaccional ='Sí',@CodigoCuentaContable ='23680503', @NombreCuentaContable ='Reteica 13,8',@Identificacion ='900934851',@Sucursal ='',@NombreTercero ='GASTRONOMÍA ITALIANA EN COLOMBIA S.A.S',@SaldoInicial = -2190.13,@MovimientoDebito = 0,@MovimientoCredito =0,@SaldoFinal = 0,@Fecha ='20240630',@IdentificacionCliente = '901434038';</v>
      </c>
      <c r="AB361" t="s">
        <v>1085</v>
      </c>
    </row>
    <row r="362" spans="1:28" x14ac:dyDescent="0.25">
      <c r="A362" s="2" t="s">
        <v>28</v>
      </c>
      <c r="B362" s="2" t="s">
        <v>29</v>
      </c>
      <c r="C362" s="2" t="s">
        <v>407</v>
      </c>
      <c r="D362" s="2" t="s">
        <v>408</v>
      </c>
      <c r="E362" s="2" t="s">
        <v>33</v>
      </c>
      <c r="F362" s="2"/>
      <c r="G362" s="2" t="s">
        <v>34</v>
      </c>
      <c r="H362" s="3" t="s">
        <v>903</v>
      </c>
      <c r="I362" s="3">
        <v>0</v>
      </c>
      <c r="J362" s="3">
        <v>0</v>
      </c>
      <c r="K362" s="3" t="s">
        <v>903</v>
      </c>
      <c r="L362" t="s">
        <v>1071</v>
      </c>
      <c r="M362" t="s">
        <v>1072</v>
      </c>
      <c r="N362" t="s">
        <v>1073</v>
      </c>
      <c r="O362" t="s">
        <v>1074</v>
      </c>
      <c r="P362" t="s">
        <v>1075</v>
      </c>
      <c r="Q362" t="s">
        <v>1076</v>
      </c>
      <c r="R362" t="s">
        <v>1077</v>
      </c>
      <c r="S362" t="s">
        <v>1078</v>
      </c>
      <c r="T362" t="s">
        <v>1079</v>
      </c>
      <c r="U362" t="s">
        <v>1080</v>
      </c>
      <c r="V362" t="s">
        <v>1081</v>
      </c>
      <c r="W362" t="s">
        <v>1082</v>
      </c>
      <c r="X362">
        <v>20240630</v>
      </c>
      <c r="Y362" t="s">
        <v>1083</v>
      </c>
      <c r="Z362" t="s">
        <v>1084</v>
      </c>
      <c r="AA362" s="11" t="str">
        <f t="shared" si="5"/>
        <v>EXEC [dbo].[BalanceGeneralInsertar] @Nivel ='Auxiliar',@Transaccional ='Sí',@CodigoCuentaContable ='23680509', @NombreCuentaContable ='Reteica 8.66',@Identificacion ='899999061',@Sucursal ='',@NombreTercero ='Secretaría Distrital de Hacienda',@SaldoInicial = 139959.33,@MovimientoDebito = 0,@MovimientoCredito =0,@SaldoFinal = 0,@Fecha ='20240630',@IdentificacionCliente = '901434038';</v>
      </c>
      <c r="AB362" t="s">
        <v>1085</v>
      </c>
    </row>
    <row r="363" spans="1:28" x14ac:dyDescent="0.25">
      <c r="A363" s="2" t="s">
        <v>28</v>
      </c>
      <c r="B363" s="2" t="s">
        <v>29</v>
      </c>
      <c r="C363" s="2" t="s">
        <v>407</v>
      </c>
      <c r="D363" s="2" t="s">
        <v>408</v>
      </c>
      <c r="E363" s="2" t="s">
        <v>113</v>
      </c>
      <c r="F363" s="2"/>
      <c r="G363" s="2" t="s">
        <v>114</v>
      </c>
      <c r="H363" s="3">
        <v>-135096</v>
      </c>
      <c r="I363" s="3">
        <v>0</v>
      </c>
      <c r="J363" s="3">
        <v>0</v>
      </c>
      <c r="K363" s="3">
        <v>-135096</v>
      </c>
      <c r="L363" t="s">
        <v>1071</v>
      </c>
      <c r="M363" t="s">
        <v>1072</v>
      </c>
      <c r="N363" t="s">
        <v>1073</v>
      </c>
      <c r="O363" t="s">
        <v>1074</v>
      </c>
      <c r="P363" t="s">
        <v>1075</v>
      </c>
      <c r="Q363" t="s">
        <v>1076</v>
      </c>
      <c r="R363" t="s">
        <v>1077</v>
      </c>
      <c r="S363" t="s">
        <v>1078</v>
      </c>
      <c r="T363" t="s">
        <v>1079</v>
      </c>
      <c r="U363" t="s">
        <v>1080</v>
      </c>
      <c r="V363" t="s">
        <v>1081</v>
      </c>
      <c r="W363" t="s">
        <v>1082</v>
      </c>
      <c r="X363">
        <v>20240630</v>
      </c>
      <c r="Y363" t="s">
        <v>1083</v>
      </c>
      <c r="Z363" t="s">
        <v>1084</v>
      </c>
      <c r="AA363" s="11" t="str">
        <f t="shared" si="5"/>
        <v>EXEC [dbo].[BalanceGeneralInsertar] @Nivel ='Auxiliar',@Transaccional ='Sí',@CodigoCuentaContable ='23680509', @NombreCuentaContable ='Reteica 8.66',@Identificacion ='901398776',@Sucursal ='',@NombreTercero ='SERVICIOS FINANCIEROS OPERATIVOS FINANCIEROS SAS',@SaldoInicial = -135096,@MovimientoDebito = 0,@MovimientoCredito =0,@SaldoFinal = 0,@Fecha ='20240630',@IdentificacionCliente = '901434038';</v>
      </c>
      <c r="AB363" t="s">
        <v>1085</v>
      </c>
    </row>
    <row r="364" spans="1:28" x14ac:dyDescent="0.25">
      <c r="A364" s="2" t="s">
        <v>28</v>
      </c>
      <c r="B364" s="2" t="s">
        <v>29</v>
      </c>
      <c r="C364" s="2" t="s">
        <v>407</v>
      </c>
      <c r="D364" s="2" t="s">
        <v>408</v>
      </c>
      <c r="E364" s="2" t="s">
        <v>75</v>
      </c>
      <c r="F364" s="2"/>
      <c r="G364" s="2" t="s">
        <v>76</v>
      </c>
      <c r="H364" s="3" t="s">
        <v>904</v>
      </c>
      <c r="I364" s="3">
        <v>0</v>
      </c>
      <c r="J364" s="3">
        <v>0</v>
      </c>
      <c r="K364" s="3" t="s">
        <v>904</v>
      </c>
      <c r="L364" t="s">
        <v>1071</v>
      </c>
      <c r="M364" t="s">
        <v>1072</v>
      </c>
      <c r="N364" t="s">
        <v>1073</v>
      </c>
      <c r="O364" t="s">
        <v>1074</v>
      </c>
      <c r="P364" t="s">
        <v>1075</v>
      </c>
      <c r="Q364" t="s">
        <v>1076</v>
      </c>
      <c r="R364" t="s">
        <v>1077</v>
      </c>
      <c r="S364" t="s">
        <v>1078</v>
      </c>
      <c r="T364" t="s">
        <v>1079</v>
      </c>
      <c r="U364" t="s">
        <v>1080</v>
      </c>
      <c r="V364" t="s">
        <v>1081</v>
      </c>
      <c r="W364" t="s">
        <v>1082</v>
      </c>
      <c r="X364">
        <v>20240630</v>
      </c>
      <c r="Y364" t="s">
        <v>1083</v>
      </c>
      <c r="Z364" t="s">
        <v>1084</v>
      </c>
      <c r="AA364" s="11" t="str">
        <f t="shared" si="5"/>
        <v>EXEC [dbo].[BalanceGeneralInsertar] @Nivel ='Auxiliar',@Transaccional ='Sí',@CodigoCuentaContable ='23680509', @NombreCuentaContable ='Reteica 8.66',@Identificacion ='1037607710',@Sucursal ='',@NombreTercero ='MANUELA DUQUE MOLINA',@SaldoInicial = -4863.33,@MovimientoDebito = 0,@MovimientoCredito =0,@SaldoFinal = 0,@Fecha ='20240630',@IdentificacionCliente = '901434038';</v>
      </c>
      <c r="AB364" t="s">
        <v>1085</v>
      </c>
    </row>
    <row r="365" spans="1:28" x14ac:dyDescent="0.25">
      <c r="A365" s="2" t="s">
        <v>28</v>
      </c>
      <c r="B365" s="2" t="s">
        <v>29</v>
      </c>
      <c r="C365" s="2" t="s">
        <v>409</v>
      </c>
      <c r="D365" s="2" t="s">
        <v>410</v>
      </c>
      <c r="E365" s="2" t="s">
        <v>33</v>
      </c>
      <c r="F365" s="2"/>
      <c r="G365" s="2" t="s">
        <v>34</v>
      </c>
      <c r="H365" s="3" t="s">
        <v>905</v>
      </c>
      <c r="I365" s="3">
        <v>0</v>
      </c>
      <c r="J365" s="3">
        <v>0</v>
      </c>
      <c r="K365" s="3" t="s">
        <v>905</v>
      </c>
      <c r="L365" t="s">
        <v>1071</v>
      </c>
      <c r="M365" t="s">
        <v>1072</v>
      </c>
      <c r="N365" t="s">
        <v>1073</v>
      </c>
      <c r="O365" t="s">
        <v>1074</v>
      </c>
      <c r="P365" t="s">
        <v>1075</v>
      </c>
      <c r="Q365" t="s">
        <v>1076</v>
      </c>
      <c r="R365" t="s">
        <v>1077</v>
      </c>
      <c r="S365" t="s">
        <v>1078</v>
      </c>
      <c r="T365" t="s">
        <v>1079</v>
      </c>
      <c r="U365" t="s">
        <v>1080</v>
      </c>
      <c r="V365" t="s">
        <v>1081</v>
      </c>
      <c r="W365" t="s">
        <v>1082</v>
      </c>
      <c r="X365">
        <v>20240630</v>
      </c>
      <c r="Y365" t="s">
        <v>1083</v>
      </c>
      <c r="Z365" t="s">
        <v>1084</v>
      </c>
      <c r="AA365" s="11" t="str">
        <f t="shared" si="5"/>
        <v>EXEC [dbo].[BalanceGeneralInsertar] @Nivel ='Auxiliar',@Transaccional ='Sí',@CodigoCuentaContable ='23680513', @NombreCuentaContable ='Reteica 4,14',@Identificacion ='899999061',@Sucursal ='',@NombreTercero ='Secretaría Distrital de Hacienda',@SaldoInicial = 39852.47,@MovimientoDebito = 0,@MovimientoCredito =0,@SaldoFinal = 0,@Fecha ='20240630',@IdentificacionCliente = '901434038';</v>
      </c>
      <c r="AB365" t="s">
        <v>1085</v>
      </c>
    </row>
    <row r="366" spans="1:28" x14ac:dyDescent="0.25">
      <c r="A366" s="2" t="s">
        <v>28</v>
      </c>
      <c r="B366" s="2" t="s">
        <v>29</v>
      </c>
      <c r="C366" s="2" t="s">
        <v>409</v>
      </c>
      <c r="D366" s="2" t="s">
        <v>410</v>
      </c>
      <c r="E366" s="2" t="s">
        <v>99</v>
      </c>
      <c r="F366" s="2"/>
      <c r="G366" s="2" t="s">
        <v>100</v>
      </c>
      <c r="H366" s="3" t="s">
        <v>906</v>
      </c>
      <c r="I366" s="3">
        <v>0</v>
      </c>
      <c r="J366" s="3">
        <v>0</v>
      </c>
      <c r="K366" s="3" t="s">
        <v>906</v>
      </c>
      <c r="L366" t="s">
        <v>1071</v>
      </c>
      <c r="M366" t="s">
        <v>1072</v>
      </c>
      <c r="N366" t="s">
        <v>1073</v>
      </c>
      <c r="O366" t="s">
        <v>1074</v>
      </c>
      <c r="P366" t="s">
        <v>1075</v>
      </c>
      <c r="Q366" t="s">
        <v>1076</v>
      </c>
      <c r="R366" t="s">
        <v>1077</v>
      </c>
      <c r="S366" t="s">
        <v>1078</v>
      </c>
      <c r="T366" t="s">
        <v>1079</v>
      </c>
      <c r="U366" t="s">
        <v>1080</v>
      </c>
      <c r="V366" t="s">
        <v>1081</v>
      </c>
      <c r="W366" t="s">
        <v>1082</v>
      </c>
      <c r="X366">
        <v>20240630</v>
      </c>
      <c r="Y366" t="s">
        <v>1083</v>
      </c>
      <c r="Z366" t="s">
        <v>1084</v>
      </c>
      <c r="AA366" s="11" t="str">
        <f t="shared" si="5"/>
        <v>EXEC [dbo].[BalanceGeneralInsertar] @Nivel ='Auxiliar',@Transaccional ='Sí',@CodigoCuentaContable ='23680513', @NombreCuentaContable ='Reteica 4,14',@Identificacion ='900397663',@Sucursal ='',@NombreTercero ='BTL COLOMBIA SAS',@SaldoInicial = -39852.47,@MovimientoDebito = 0,@MovimientoCredito =0,@SaldoFinal = 0,@Fecha ='20240630',@IdentificacionCliente = '901434038';</v>
      </c>
      <c r="AB366" t="s">
        <v>1085</v>
      </c>
    </row>
    <row r="367" spans="1:28" x14ac:dyDescent="0.25">
      <c r="A367" s="2" t="s">
        <v>22</v>
      </c>
      <c r="B367" s="2" t="s">
        <v>16</v>
      </c>
      <c r="C367" s="2" t="s">
        <v>411</v>
      </c>
      <c r="D367" s="2" t="s">
        <v>412</v>
      </c>
      <c r="E367" s="2"/>
      <c r="F367" s="2"/>
      <c r="G367" s="2"/>
      <c r="H367" s="3">
        <v>73000</v>
      </c>
      <c r="I367" s="3">
        <v>341000</v>
      </c>
      <c r="J367" s="3">
        <v>341000</v>
      </c>
      <c r="K367" s="3">
        <v>73000</v>
      </c>
      <c r="L367" t="s">
        <v>1071</v>
      </c>
      <c r="M367" t="s">
        <v>1072</v>
      </c>
      <c r="N367" t="s">
        <v>1073</v>
      </c>
      <c r="O367" t="s">
        <v>1074</v>
      </c>
      <c r="P367" t="s">
        <v>1075</v>
      </c>
      <c r="Q367" t="s">
        <v>1076</v>
      </c>
      <c r="R367" t="s">
        <v>1077</v>
      </c>
      <c r="S367" t="s">
        <v>1078</v>
      </c>
      <c r="T367" t="s">
        <v>1079</v>
      </c>
      <c r="U367" t="s">
        <v>1080</v>
      </c>
      <c r="V367" t="s">
        <v>1081</v>
      </c>
      <c r="W367" t="s">
        <v>1082</v>
      </c>
      <c r="X367">
        <v>20240630</v>
      </c>
      <c r="Y367" t="s">
        <v>1083</v>
      </c>
      <c r="Z367" t="s">
        <v>1084</v>
      </c>
      <c r="AA367" s="11" t="str">
        <f t="shared" si="5"/>
        <v>EXEC [dbo].[BalanceGeneralInsertar] @Nivel ='Cuenta',@Transaccional ='No',@CodigoCuentaContable ='2370', @NombreCuentaContable ='Aportes a empresas promotoras de salud eps',@Identificacion ='',@Sucursal ='',@NombreTercero ='',@SaldoInicial = 73000,@MovimientoDebito = 341000,@MovimientoCredito =341000,@SaldoFinal = 341000,@Fecha ='20240630',@IdentificacionCliente = '901434038';</v>
      </c>
      <c r="AB367" t="s">
        <v>1085</v>
      </c>
    </row>
    <row r="368" spans="1:28" x14ac:dyDescent="0.25">
      <c r="A368" s="2" t="s">
        <v>25</v>
      </c>
      <c r="B368" s="2" t="s">
        <v>16</v>
      </c>
      <c r="C368" s="2" t="s">
        <v>413</v>
      </c>
      <c r="D368" s="2" t="s">
        <v>414</v>
      </c>
      <c r="E368" s="2"/>
      <c r="F368" s="2"/>
      <c r="G368" s="2"/>
      <c r="H368" s="3">
        <v>254000</v>
      </c>
      <c r="I368" s="3">
        <v>160000</v>
      </c>
      <c r="J368" s="3">
        <v>160000</v>
      </c>
      <c r="K368" s="3">
        <v>254000</v>
      </c>
      <c r="L368" t="s">
        <v>1071</v>
      </c>
      <c r="M368" t="s">
        <v>1072</v>
      </c>
      <c r="N368" t="s">
        <v>1073</v>
      </c>
      <c r="O368" t="s">
        <v>1074</v>
      </c>
      <c r="P368" t="s">
        <v>1075</v>
      </c>
      <c r="Q368" t="s">
        <v>1076</v>
      </c>
      <c r="R368" t="s">
        <v>1077</v>
      </c>
      <c r="S368" t="s">
        <v>1078</v>
      </c>
      <c r="T368" t="s">
        <v>1079</v>
      </c>
      <c r="U368" t="s">
        <v>1080</v>
      </c>
      <c r="V368" t="s">
        <v>1081</v>
      </c>
      <c r="W368" t="s">
        <v>1082</v>
      </c>
      <c r="X368">
        <v>20240630</v>
      </c>
      <c r="Y368" t="s">
        <v>1083</v>
      </c>
      <c r="Z368" t="s">
        <v>1084</v>
      </c>
      <c r="AA368" s="11" t="str">
        <f t="shared" si="5"/>
        <v>EXEC [dbo].[BalanceGeneralInsertar] @Nivel ='Subcuenta',@Transaccional ='No',@CodigoCuentaContable ='237005', @NombreCuentaContable ='Aportes a entidades promotoras de salud eps',@Identificacion ='',@Sucursal ='',@NombreTercero ='',@SaldoInicial = 254000,@MovimientoDebito = 160000,@MovimientoCredito =160000,@SaldoFinal = 160000,@Fecha ='20240630',@IdentificacionCliente = '901434038';</v>
      </c>
      <c r="AB368" t="s">
        <v>1085</v>
      </c>
    </row>
    <row r="369" spans="1:28" x14ac:dyDescent="0.25">
      <c r="A369" s="2" t="s">
        <v>28</v>
      </c>
      <c r="B369" s="2" t="s">
        <v>29</v>
      </c>
      <c r="C369" s="2" t="s">
        <v>415</v>
      </c>
      <c r="D369" s="2" t="s">
        <v>414</v>
      </c>
      <c r="E369" s="2" t="s">
        <v>416</v>
      </c>
      <c r="F369" s="2"/>
      <c r="G369" s="2" t="s">
        <v>417</v>
      </c>
      <c r="H369" s="3">
        <v>254000</v>
      </c>
      <c r="I369" s="3">
        <v>80000</v>
      </c>
      <c r="J369" s="3">
        <v>80000</v>
      </c>
      <c r="K369" s="3">
        <v>254000</v>
      </c>
      <c r="L369" t="s">
        <v>1071</v>
      </c>
      <c r="M369" t="s">
        <v>1072</v>
      </c>
      <c r="N369" t="s">
        <v>1073</v>
      </c>
      <c r="O369" t="s">
        <v>1074</v>
      </c>
      <c r="P369" t="s">
        <v>1075</v>
      </c>
      <c r="Q369" t="s">
        <v>1076</v>
      </c>
      <c r="R369" t="s">
        <v>1077</v>
      </c>
      <c r="S369" t="s">
        <v>1078</v>
      </c>
      <c r="T369" t="s">
        <v>1079</v>
      </c>
      <c r="U369" t="s">
        <v>1080</v>
      </c>
      <c r="V369" t="s">
        <v>1081</v>
      </c>
      <c r="W369" t="s">
        <v>1082</v>
      </c>
      <c r="X369">
        <v>20240630</v>
      </c>
      <c r="Y369" t="s">
        <v>1083</v>
      </c>
      <c r="Z369" t="s">
        <v>1084</v>
      </c>
      <c r="AA369" s="11" t="str">
        <f t="shared" si="5"/>
        <v>EXEC [dbo].[BalanceGeneralInsertar] @Nivel ='Auxiliar',@Transaccional ='Sí',@CodigoCuentaContable ='23700501', @NombreCuentaContable ='Aportes a entidades promotoras de salud eps',@Identificacion ='830003564',@Sucursal ='',@NombreTercero ='Eps Famisanar',@SaldoInicial = 254000,@MovimientoDebito = 80000,@MovimientoCredito =80000,@SaldoFinal = 80000,@Fecha ='20240630',@IdentificacionCliente = '901434038';</v>
      </c>
      <c r="AB369" t="s">
        <v>1085</v>
      </c>
    </row>
    <row r="370" spans="1:28" x14ac:dyDescent="0.25">
      <c r="A370" s="2" t="s">
        <v>28</v>
      </c>
      <c r="B370" s="2" t="s">
        <v>29</v>
      </c>
      <c r="C370" s="2" t="s">
        <v>415</v>
      </c>
      <c r="D370" s="2" t="s">
        <v>414</v>
      </c>
      <c r="E370" s="2" t="s">
        <v>418</v>
      </c>
      <c r="F370" s="2"/>
      <c r="G370" s="2" t="s">
        <v>419</v>
      </c>
      <c r="H370" s="3">
        <v>0</v>
      </c>
      <c r="I370" s="3">
        <v>80000</v>
      </c>
      <c r="J370" s="3">
        <v>80000</v>
      </c>
      <c r="K370" s="3">
        <v>0</v>
      </c>
      <c r="L370" t="s">
        <v>1071</v>
      </c>
      <c r="M370" t="s">
        <v>1072</v>
      </c>
      <c r="N370" t="s">
        <v>1073</v>
      </c>
      <c r="O370" t="s">
        <v>1074</v>
      </c>
      <c r="P370" t="s">
        <v>1075</v>
      </c>
      <c r="Q370" t="s">
        <v>1076</v>
      </c>
      <c r="R370" t="s">
        <v>1077</v>
      </c>
      <c r="S370" t="s">
        <v>1078</v>
      </c>
      <c r="T370" t="s">
        <v>1079</v>
      </c>
      <c r="U370" t="s">
        <v>1080</v>
      </c>
      <c r="V370" t="s">
        <v>1081</v>
      </c>
      <c r="W370" t="s">
        <v>1082</v>
      </c>
      <c r="X370">
        <v>20240630</v>
      </c>
      <c r="Y370" t="s">
        <v>1083</v>
      </c>
      <c r="Z370" t="s">
        <v>1084</v>
      </c>
      <c r="AA370" s="11" t="str">
        <f t="shared" si="5"/>
        <v>EXEC [dbo].[BalanceGeneralInsertar] @Nivel ='Auxiliar',@Transaccional ='Sí',@CodigoCuentaContable ='23700501', @NombreCuentaContable ='Aportes a entidades promotoras de salud eps',@Identificacion ='800088702',@Sucursal ='',@NombreTercero ='EPS Sura',@SaldoInicial = 0,@MovimientoDebito = 80000,@MovimientoCredito =80000,@SaldoFinal = 80000,@Fecha ='20240630',@IdentificacionCliente = '901434038';</v>
      </c>
      <c r="AB370" t="s">
        <v>1085</v>
      </c>
    </row>
    <row r="371" spans="1:28" x14ac:dyDescent="0.25">
      <c r="A371" s="2" t="s">
        <v>25</v>
      </c>
      <c r="B371" s="2" t="s">
        <v>16</v>
      </c>
      <c r="C371" s="2" t="s">
        <v>420</v>
      </c>
      <c r="D371" s="2" t="s">
        <v>421</v>
      </c>
      <c r="E371" s="2"/>
      <c r="F371" s="2"/>
      <c r="G371" s="2"/>
      <c r="H371" s="3">
        <v>-21000</v>
      </c>
      <c r="I371" s="3">
        <v>21000</v>
      </c>
      <c r="J371" s="3">
        <v>21000</v>
      </c>
      <c r="K371" s="3">
        <v>-21000</v>
      </c>
      <c r="L371" t="s">
        <v>1071</v>
      </c>
      <c r="M371" t="s">
        <v>1072</v>
      </c>
      <c r="N371" t="s">
        <v>1073</v>
      </c>
      <c r="O371" t="s">
        <v>1074</v>
      </c>
      <c r="P371" t="s">
        <v>1075</v>
      </c>
      <c r="Q371" t="s">
        <v>1076</v>
      </c>
      <c r="R371" t="s">
        <v>1077</v>
      </c>
      <c r="S371" t="s">
        <v>1078</v>
      </c>
      <c r="T371" t="s">
        <v>1079</v>
      </c>
      <c r="U371" t="s">
        <v>1080</v>
      </c>
      <c r="V371" t="s">
        <v>1081</v>
      </c>
      <c r="W371" t="s">
        <v>1082</v>
      </c>
      <c r="X371">
        <v>20240630</v>
      </c>
      <c r="Y371" t="s">
        <v>1083</v>
      </c>
      <c r="Z371" t="s">
        <v>1084</v>
      </c>
      <c r="AA371" s="11" t="str">
        <f t="shared" si="5"/>
        <v>EXEC [dbo].[BalanceGeneralInsertar] @Nivel ='Subcuenta',@Transaccional ='No',@CodigoCuentaContable ='237006', @NombreCuentaContable ='Aporte a administradoras de riesgos profesionales',@Identificacion ='',@Sucursal ='',@NombreTercero ='',@SaldoInicial = -21000,@MovimientoDebito = 21000,@MovimientoCredito =21000,@SaldoFinal = 21000,@Fecha ='20240630',@IdentificacionCliente = '901434038';</v>
      </c>
      <c r="AB371" t="s">
        <v>1085</v>
      </c>
    </row>
    <row r="372" spans="1:28" x14ac:dyDescent="0.25">
      <c r="A372" s="2" t="s">
        <v>28</v>
      </c>
      <c r="B372" s="2" t="s">
        <v>29</v>
      </c>
      <c r="C372" s="2" t="s">
        <v>422</v>
      </c>
      <c r="D372" s="2" t="s">
        <v>423</v>
      </c>
      <c r="E372" s="2" t="s">
        <v>41</v>
      </c>
      <c r="F372" s="2"/>
      <c r="G372" s="2" t="s">
        <v>42</v>
      </c>
      <c r="H372" s="3">
        <v>21000</v>
      </c>
      <c r="I372" s="3">
        <v>0</v>
      </c>
      <c r="J372" s="3">
        <v>0</v>
      </c>
      <c r="K372" s="3">
        <v>21000</v>
      </c>
      <c r="L372" t="s">
        <v>1071</v>
      </c>
      <c r="M372" t="s">
        <v>1072</v>
      </c>
      <c r="N372" t="s">
        <v>1073</v>
      </c>
      <c r="O372" t="s">
        <v>1074</v>
      </c>
      <c r="P372" t="s">
        <v>1075</v>
      </c>
      <c r="Q372" t="s">
        <v>1076</v>
      </c>
      <c r="R372" t="s">
        <v>1077</v>
      </c>
      <c r="S372" t="s">
        <v>1078</v>
      </c>
      <c r="T372" t="s">
        <v>1079</v>
      </c>
      <c r="U372" t="s">
        <v>1080</v>
      </c>
      <c r="V372" t="s">
        <v>1081</v>
      </c>
      <c r="W372" t="s">
        <v>1082</v>
      </c>
      <c r="X372">
        <v>20240630</v>
      </c>
      <c r="Y372" t="s">
        <v>1083</v>
      </c>
      <c r="Z372" t="s">
        <v>1084</v>
      </c>
      <c r="AA372" s="11" t="str">
        <f t="shared" si="5"/>
        <v>EXEC [dbo].[BalanceGeneralInsertar] @Nivel ='Auxiliar',@Transaccional ='Sí',@CodigoCuentaContable ='23700601', @NombreCuentaContable ='Aporte a administradoras de riesgos profesionales, ARL',@Identificacion ='800224808',@Sucursal ='',@NombreTercero ='Porvenir S.A',@SaldoInicial = 21000,@MovimientoDebito = 0,@MovimientoCredito =0,@SaldoFinal = 0,@Fecha ='20240630',@IdentificacionCliente = '901434038';</v>
      </c>
      <c r="AB372" t="s">
        <v>1085</v>
      </c>
    </row>
    <row r="373" spans="1:28" x14ac:dyDescent="0.25">
      <c r="A373" s="2" t="s">
        <v>28</v>
      </c>
      <c r="B373" s="2" t="s">
        <v>29</v>
      </c>
      <c r="C373" s="2" t="s">
        <v>422</v>
      </c>
      <c r="D373" s="2" t="s">
        <v>423</v>
      </c>
      <c r="E373" s="2" t="s">
        <v>424</v>
      </c>
      <c r="F373" s="2"/>
      <c r="G373" s="2" t="s">
        <v>425</v>
      </c>
      <c r="H373" s="3">
        <v>-42000</v>
      </c>
      <c r="I373" s="3">
        <v>21000</v>
      </c>
      <c r="J373" s="3">
        <v>21000</v>
      </c>
      <c r="K373" s="3">
        <v>-42000</v>
      </c>
      <c r="L373" t="s">
        <v>1071</v>
      </c>
      <c r="M373" t="s">
        <v>1072</v>
      </c>
      <c r="N373" t="s">
        <v>1073</v>
      </c>
      <c r="O373" t="s">
        <v>1074</v>
      </c>
      <c r="P373" t="s">
        <v>1075</v>
      </c>
      <c r="Q373" t="s">
        <v>1076</v>
      </c>
      <c r="R373" t="s">
        <v>1077</v>
      </c>
      <c r="S373" t="s">
        <v>1078</v>
      </c>
      <c r="T373" t="s">
        <v>1079</v>
      </c>
      <c r="U373" t="s">
        <v>1080</v>
      </c>
      <c r="V373" t="s">
        <v>1081</v>
      </c>
      <c r="W373" t="s">
        <v>1082</v>
      </c>
      <c r="X373">
        <v>20240630</v>
      </c>
      <c r="Y373" t="s">
        <v>1083</v>
      </c>
      <c r="Z373" t="s">
        <v>1084</v>
      </c>
      <c r="AA373" s="11" t="str">
        <f t="shared" si="5"/>
        <v>EXEC [dbo].[BalanceGeneralInsertar] @Nivel ='Auxiliar',@Transaccional ='Sí',@CodigoCuentaContable ='23700601', @NombreCuentaContable ='Aporte a administradoras de riesgos profesionales, ARL',@Identificacion ='860011153',@Sucursal ='',@NombreTercero ='Positiva Compañía de Seguros',@SaldoInicial = -42000,@MovimientoDebito = 21000,@MovimientoCredito =21000,@SaldoFinal = 21000,@Fecha ='20240630',@IdentificacionCliente = '901434038';</v>
      </c>
      <c r="AB373" t="s">
        <v>1085</v>
      </c>
    </row>
    <row r="374" spans="1:28" x14ac:dyDescent="0.25">
      <c r="A374" s="2" t="s">
        <v>25</v>
      </c>
      <c r="B374" s="2" t="s">
        <v>16</v>
      </c>
      <c r="C374" s="2" t="s">
        <v>426</v>
      </c>
      <c r="D374" s="2" t="s">
        <v>427</v>
      </c>
      <c r="E374" s="2"/>
      <c r="F374" s="2"/>
      <c r="G374" s="2"/>
      <c r="H374" s="3">
        <v>-160000</v>
      </c>
      <c r="I374" s="3">
        <v>160000</v>
      </c>
      <c r="J374" s="3">
        <v>160000</v>
      </c>
      <c r="K374" s="3">
        <v>-160000</v>
      </c>
      <c r="L374" t="s">
        <v>1071</v>
      </c>
      <c r="M374" t="s">
        <v>1072</v>
      </c>
      <c r="N374" t="s">
        <v>1073</v>
      </c>
      <c r="O374" t="s">
        <v>1074</v>
      </c>
      <c r="P374" t="s">
        <v>1075</v>
      </c>
      <c r="Q374" t="s">
        <v>1076</v>
      </c>
      <c r="R374" t="s">
        <v>1077</v>
      </c>
      <c r="S374" t="s">
        <v>1078</v>
      </c>
      <c r="T374" t="s">
        <v>1079</v>
      </c>
      <c r="U374" t="s">
        <v>1080</v>
      </c>
      <c r="V374" t="s">
        <v>1081</v>
      </c>
      <c r="W374" t="s">
        <v>1082</v>
      </c>
      <c r="X374">
        <v>20240630</v>
      </c>
      <c r="Y374" t="s">
        <v>1083</v>
      </c>
      <c r="Z374" t="s">
        <v>1084</v>
      </c>
      <c r="AA374" s="11" t="str">
        <f t="shared" si="5"/>
        <v>EXEC [dbo].[BalanceGeneralInsertar] @Nivel ='Subcuenta',@Transaccional ='No',@CodigoCuentaContable ='237010', @NombreCuentaContable ='Aportes al icbf Sena y cajas de compensación',@Identificacion ='',@Sucursal ='',@NombreTercero ='',@SaldoInicial = -160000,@MovimientoDebito = 160000,@MovimientoCredito =160000,@SaldoFinal = 160000,@Fecha ='20240630',@IdentificacionCliente = '901434038';</v>
      </c>
      <c r="AB374" t="s">
        <v>1085</v>
      </c>
    </row>
    <row r="375" spans="1:28" x14ac:dyDescent="0.25">
      <c r="A375" s="2" t="s">
        <v>28</v>
      </c>
      <c r="B375" s="2" t="s">
        <v>29</v>
      </c>
      <c r="C375" s="2" t="s">
        <v>428</v>
      </c>
      <c r="D375" s="2" t="s">
        <v>427</v>
      </c>
      <c r="E375" s="2" t="s">
        <v>41</v>
      </c>
      <c r="F375" s="2"/>
      <c r="G375" s="2" t="s">
        <v>42</v>
      </c>
      <c r="H375" s="3">
        <v>-2632000</v>
      </c>
      <c r="I375" s="3">
        <v>0</v>
      </c>
      <c r="J375" s="3">
        <v>0</v>
      </c>
      <c r="K375" s="3">
        <v>-2632000</v>
      </c>
      <c r="L375" t="s">
        <v>1071</v>
      </c>
      <c r="M375" t="s">
        <v>1072</v>
      </c>
      <c r="N375" t="s">
        <v>1073</v>
      </c>
      <c r="O375" t="s">
        <v>1074</v>
      </c>
      <c r="P375" t="s">
        <v>1075</v>
      </c>
      <c r="Q375" t="s">
        <v>1076</v>
      </c>
      <c r="R375" t="s">
        <v>1077</v>
      </c>
      <c r="S375" t="s">
        <v>1078</v>
      </c>
      <c r="T375" t="s">
        <v>1079</v>
      </c>
      <c r="U375" t="s">
        <v>1080</v>
      </c>
      <c r="V375" t="s">
        <v>1081</v>
      </c>
      <c r="W375" t="s">
        <v>1082</v>
      </c>
      <c r="X375">
        <v>20240630</v>
      </c>
      <c r="Y375" t="s">
        <v>1083</v>
      </c>
      <c r="Z375" t="s">
        <v>1084</v>
      </c>
      <c r="AA375" s="11" t="str">
        <f t="shared" si="5"/>
        <v>EXEC [dbo].[BalanceGeneralInsertar] @Nivel ='Auxiliar',@Transaccional ='Sí',@CodigoCuentaContable ='23701001', @NombreCuentaContable ='Aportes al icbf Sena y cajas de compensación',@Identificacion ='800224808',@Sucursal ='',@NombreTercero ='Porvenir S.A',@SaldoInicial = -2632000,@MovimientoDebito = 0,@MovimientoCredito =0,@SaldoFinal = 0,@Fecha ='20240630',@IdentificacionCliente = '901434038';</v>
      </c>
      <c r="AB375" t="s">
        <v>1085</v>
      </c>
    </row>
    <row r="376" spans="1:28" x14ac:dyDescent="0.25">
      <c r="A376" s="2" t="s">
        <v>28</v>
      </c>
      <c r="B376" s="2" t="s">
        <v>29</v>
      </c>
      <c r="C376" s="2" t="s">
        <v>428</v>
      </c>
      <c r="D376" s="2" t="s">
        <v>427</v>
      </c>
      <c r="E376" s="2" t="s">
        <v>111</v>
      </c>
      <c r="F376" s="2"/>
      <c r="G376" s="2" t="s">
        <v>112</v>
      </c>
      <c r="H376" s="3">
        <v>2472000</v>
      </c>
      <c r="I376" s="3">
        <v>160000</v>
      </c>
      <c r="J376" s="3">
        <v>160000</v>
      </c>
      <c r="K376" s="3">
        <v>2472000</v>
      </c>
      <c r="L376" t="s">
        <v>1071</v>
      </c>
      <c r="M376" t="s">
        <v>1072</v>
      </c>
      <c r="N376" t="s">
        <v>1073</v>
      </c>
      <c r="O376" t="s">
        <v>1074</v>
      </c>
      <c r="P376" t="s">
        <v>1075</v>
      </c>
      <c r="Q376" t="s">
        <v>1076</v>
      </c>
      <c r="R376" t="s">
        <v>1077</v>
      </c>
      <c r="S376" t="s">
        <v>1078</v>
      </c>
      <c r="T376" t="s">
        <v>1079</v>
      </c>
      <c r="U376" t="s">
        <v>1080</v>
      </c>
      <c r="V376" t="s">
        <v>1081</v>
      </c>
      <c r="W376" t="s">
        <v>1082</v>
      </c>
      <c r="X376">
        <v>20240630</v>
      </c>
      <c r="Y376" t="s">
        <v>1083</v>
      </c>
      <c r="Z376" t="s">
        <v>1084</v>
      </c>
      <c r="AA376" s="11" t="str">
        <f t="shared" si="5"/>
        <v>EXEC [dbo].[BalanceGeneralInsertar] @Nivel ='Auxiliar',@Transaccional ='Sí',@CodigoCuentaContable ='23701001', @NombreCuentaContable ='Aportes al icbf Sena y cajas de compensación',@Identificacion ='860066942',@Sucursal ='',@NombreTercero ='Compensar',@SaldoInicial = 2472000,@MovimientoDebito = 160000,@MovimientoCredito =160000,@SaldoFinal = 160000,@Fecha ='20240630',@IdentificacionCliente = '901434038';</v>
      </c>
      <c r="AB376" t="s">
        <v>1085</v>
      </c>
    </row>
    <row r="377" spans="1:28" x14ac:dyDescent="0.25">
      <c r="A377" s="2" t="s">
        <v>22</v>
      </c>
      <c r="B377" s="2" t="s">
        <v>16</v>
      </c>
      <c r="C377" s="2" t="s">
        <v>429</v>
      </c>
      <c r="D377" s="2" t="s">
        <v>430</v>
      </c>
      <c r="E377" s="2"/>
      <c r="F377" s="2"/>
      <c r="G377" s="2"/>
      <c r="H377" s="3">
        <v>-364000</v>
      </c>
      <c r="I377" s="3">
        <v>320000</v>
      </c>
      <c r="J377" s="3">
        <v>320000</v>
      </c>
      <c r="K377" s="3">
        <v>-364000</v>
      </c>
      <c r="L377" t="s">
        <v>1071</v>
      </c>
      <c r="M377" t="s">
        <v>1072</v>
      </c>
      <c r="N377" t="s">
        <v>1073</v>
      </c>
      <c r="O377" t="s">
        <v>1074</v>
      </c>
      <c r="P377" t="s">
        <v>1075</v>
      </c>
      <c r="Q377" t="s">
        <v>1076</v>
      </c>
      <c r="R377" t="s">
        <v>1077</v>
      </c>
      <c r="S377" t="s">
        <v>1078</v>
      </c>
      <c r="T377" t="s">
        <v>1079</v>
      </c>
      <c r="U377" t="s">
        <v>1080</v>
      </c>
      <c r="V377" t="s">
        <v>1081</v>
      </c>
      <c r="W377" t="s">
        <v>1082</v>
      </c>
      <c r="X377">
        <v>20240630</v>
      </c>
      <c r="Y377" t="s">
        <v>1083</v>
      </c>
      <c r="Z377" t="s">
        <v>1084</v>
      </c>
      <c r="AA377" s="11" t="str">
        <f t="shared" si="5"/>
        <v>EXEC [dbo].[BalanceGeneralInsertar] @Nivel ='Cuenta',@Transaccional ='No',@CodigoCuentaContable ='2380', @NombreCuentaContable ='Acreedores varios',@Identificacion ='',@Sucursal ='',@NombreTercero ='',@SaldoInicial = -364000,@MovimientoDebito = 320000,@MovimientoCredito =320000,@SaldoFinal = 320000,@Fecha ='20240630',@IdentificacionCliente = '901434038';</v>
      </c>
      <c r="AB377" t="s">
        <v>1085</v>
      </c>
    </row>
    <row r="378" spans="1:28" x14ac:dyDescent="0.25">
      <c r="A378" s="2" t="s">
        <v>25</v>
      </c>
      <c r="B378" s="2" t="s">
        <v>16</v>
      </c>
      <c r="C378" s="2" t="s">
        <v>431</v>
      </c>
      <c r="D378" s="2" t="s">
        <v>432</v>
      </c>
      <c r="E378" s="2"/>
      <c r="F378" s="2"/>
      <c r="G378" s="2"/>
      <c r="H378" s="3">
        <v>-364000</v>
      </c>
      <c r="I378" s="3">
        <v>320000</v>
      </c>
      <c r="J378" s="3">
        <v>320000</v>
      </c>
      <c r="K378" s="3">
        <v>-364000</v>
      </c>
      <c r="L378" t="s">
        <v>1071</v>
      </c>
      <c r="M378" t="s">
        <v>1072</v>
      </c>
      <c r="N378" t="s">
        <v>1073</v>
      </c>
      <c r="O378" t="s">
        <v>1074</v>
      </c>
      <c r="P378" t="s">
        <v>1075</v>
      </c>
      <c r="Q378" t="s">
        <v>1076</v>
      </c>
      <c r="R378" t="s">
        <v>1077</v>
      </c>
      <c r="S378" t="s">
        <v>1078</v>
      </c>
      <c r="T378" t="s">
        <v>1079</v>
      </c>
      <c r="U378" t="s">
        <v>1080</v>
      </c>
      <c r="V378" t="s">
        <v>1081</v>
      </c>
      <c r="W378" t="s">
        <v>1082</v>
      </c>
      <c r="X378">
        <v>20240630</v>
      </c>
      <c r="Y378" t="s">
        <v>1083</v>
      </c>
      <c r="Z378" t="s">
        <v>1084</v>
      </c>
      <c r="AA378" s="11" t="str">
        <f t="shared" si="5"/>
        <v>EXEC [dbo].[BalanceGeneralInsertar] @Nivel ='Subcuenta',@Transaccional ='No',@CodigoCuentaContable ='238030', @NombreCuentaContable ='Fondos de cesantías y/o pensiones',@Identificacion ='',@Sucursal ='',@NombreTercero ='',@SaldoInicial = -364000,@MovimientoDebito = 320000,@MovimientoCredito =320000,@SaldoFinal = 320000,@Fecha ='20240630',@IdentificacionCliente = '901434038';</v>
      </c>
      <c r="AB378" t="s">
        <v>1085</v>
      </c>
    </row>
    <row r="379" spans="1:28" x14ac:dyDescent="0.25">
      <c r="A379" s="2" t="s">
        <v>28</v>
      </c>
      <c r="B379" s="2" t="s">
        <v>29</v>
      </c>
      <c r="C379" s="2" t="s">
        <v>433</v>
      </c>
      <c r="D379" s="2" t="s">
        <v>432</v>
      </c>
      <c r="E379" s="2" t="s">
        <v>41</v>
      </c>
      <c r="F379" s="2"/>
      <c r="G379" s="2" t="s">
        <v>42</v>
      </c>
      <c r="H379" s="3">
        <v>-364000</v>
      </c>
      <c r="I379" s="3">
        <v>320000</v>
      </c>
      <c r="J379" s="3">
        <v>320000</v>
      </c>
      <c r="K379" s="3">
        <v>-364000</v>
      </c>
      <c r="L379" t="s">
        <v>1071</v>
      </c>
      <c r="M379" t="s">
        <v>1072</v>
      </c>
      <c r="N379" t="s">
        <v>1073</v>
      </c>
      <c r="O379" t="s">
        <v>1074</v>
      </c>
      <c r="P379" t="s">
        <v>1075</v>
      </c>
      <c r="Q379" t="s">
        <v>1076</v>
      </c>
      <c r="R379" t="s">
        <v>1077</v>
      </c>
      <c r="S379" t="s">
        <v>1078</v>
      </c>
      <c r="T379" t="s">
        <v>1079</v>
      </c>
      <c r="U379" t="s">
        <v>1080</v>
      </c>
      <c r="V379" t="s">
        <v>1081</v>
      </c>
      <c r="W379" t="s">
        <v>1082</v>
      </c>
      <c r="X379">
        <v>20240630</v>
      </c>
      <c r="Y379" t="s">
        <v>1083</v>
      </c>
      <c r="Z379" t="s">
        <v>1084</v>
      </c>
      <c r="AA379" s="11" t="str">
        <f t="shared" si="5"/>
        <v>EXEC [dbo].[BalanceGeneralInsertar] @Nivel ='Auxiliar',@Transaccional ='Sí',@CodigoCuentaContable ='23803001', @NombreCuentaContable ='Fondos de cesantías y/o pensiones',@Identificacion ='800224808',@Sucursal ='',@NombreTercero ='Porvenir S.A',@SaldoInicial = -364000,@MovimientoDebito = 320000,@MovimientoCredito =320000,@SaldoFinal = 320000,@Fecha ='20240630',@IdentificacionCliente = '901434038';</v>
      </c>
      <c r="AB379" t="s">
        <v>1085</v>
      </c>
    </row>
    <row r="380" spans="1:28" x14ac:dyDescent="0.25">
      <c r="A380" s="2" t="s">
        <v>19</v>
      </c>
      <c r="B380" s="2" t="s">
        <v>16</v>
      </c>
      <c r="C380" s="2" t="s">
        <v>434</v>
      </c>
      <c r="D380" s="2" t="s">
        <v>435</v>
      </c>
      <c r="E380" s="2"/>
      <c r="F380" s="2"/>
      <c r="G380" s="2"/>
      <c r="H380" s="3" t="s">
        <v>907</v>
      </c>
      <c r="I380" s="3" t="s">
        <v>908</v>
      </c>
      <c r="J380" s="3" t="s">
        <v>909</v>
      </c>
      <c r="K380" s="3" t="s">
        <v>910</v>
      </c>
      <c r="L380" t="s">
        <v>1071</v>
      </c>
      <c r="M380" t="s">
        <v>1072</v>
      </c>
      <c r="N380" t="s">
        <v>1073</v>
      </c>
      <c r="O380" t="s">
        <v>1074</v>
      </c>
      <c r="P380" t="s">
        <v>1075</v>
      </c>
      <c r="Q380" t="s">
        <v>1076</v>
      </c>
      <c r="R380" t="s">
        <v>1077</v>
      </c>
      <c r="S380" t="s">
        <v>1078</v>
      </c>
      <c r="T380" t="s">
        <v>1079</v>
      </c>
      <c r="U380" t="s">
        <v>1080</v>
      </c>
      <c r="V380" t="s">
        <v>1081</v>
      </c>
      <c r="W380" t="s">
        <v>1082</v>
      </c>
      <c r="X380">
        <v>20240630</v>
      </c>
      <c r="Y380" t="s">
        <v>1083</v>
      </c>
      <c r="Z380" t="s">
        <v>1084</v>
      </c>
      <c r="AA380" s="11" t="str">
        <f t="shared" si="5"/>
        <v>EXEC [dbo].[BalanceGeneralInsertar] @Nivel ='Grupo',@Transaccional ='No',@CodigoCuentaContable ='24', @NombreCuentaContable ='Pasivos por impuestos',@Identificacion ='',@Sucursal ='',@NombreTercero ='',@SaldoInicial = -29030784.78,@MovimientoDebito = 44275677.02,@MovimientoCredito =25107891.22,@SaldoFinal = 25107891.22,@Fecha ='20240630',@IdentificacionCliente = '901434038';</v>
      </c>
      <c r="AB380" t="s">
        <v>1085</v>
      </c>
    </row>
    <row r="381" spans="1:28" x14ac:dyDescent="0.25">
      <c r="A381" s="2" t="s">
        <v>22</v>
      </c>
      <c r="B381" s="2" t="s">
        <v>16</v>
      </c>
      <c r="C381" s="2" t="s">
        <v>436</v>
      </c>
      <c r="D381" s="2" t="s">
        <v>437</v>
      </c>
      <c r="E381" s="2"/>
      <c r="F381" s="2"/>
      <c r="G381" s="2"/>
      <c r="H381" s="3" t="s">
        <v>911</v>
      </c>
      <c r="I381" s="3">
        <v>3317000</v>
      </c>
      <c r="J381" s="3" t="s">
        <v>912</v>
      </c>
      <c r="K381" s="3" t="s">
        <v>913</v>
      </c>
      <c r="L381" t="s">
        <v>1071</v>
      </c>
      <c r="M381" t="s">
        <v>1072</v>
      </c>
      <c r="N381" t="s">
        <v>1073</v>
      </c>
      <c r="O381" t="s">
        <v>1074</v>
      </c>
      <c r="P381" t="s">
        <v>1075</v>
      </c>
      <c r="Q381" t="s">
        <v>1076</v>
      </c>
      <c r="R381" t="s">
        <v>1077</v>
      </c>
      <c r="S381" t="s">
        <v>1078</v>
      </c>
      <c r="T381" t="s">
        <v>1079</v>
      </c>
      <c r="U381" t="s">
        <v>1080</v>
      </c>
      <c r="V381" t="s">
        <v>1081</v>
      </c>
      <c r="W381" t="s">
        <v>1082</v>
      </c>
      <c r="X381">
        <v>20240630</v>
      </c>
      <c r="Y381" t="s">
        <v>1083</v>
      </c>
      <c r="Z381" t="s">
        <v>1084</v>
      </c>
      <c r="AA381" s="11" t="str">
        <f t="shared" si="5"/>
        <v>EXEC [dbo].[BalanceGeneralInsertar] @Nivel ='Cuenta',@Transaccional ='No',@CodigoCuentaContable ='2404', @NombreCuentaContable ='De renta y complementarios corriente',@Identificacion ='',@Sucursal ='',@NombreTercero ='',@SaldoInicial = -7512242.66,@MovimientoDebito = 3317000,@MovimientoCredito =1476027.78,@SaldoFinal = 1476027.78,@Fecha ='20240630',@IdentificacionCliente = '901434038';</v>
      </c>
      <c r="AB381" t="s">
        <v>1085</v>
      </c>
    </row>
    <row r="382" spans="1:28" x14ac:dyDescent="0.25">
      <c r="A382" s="2" t="s">
        <v>25</v>
      </c>
      <c r="B382" s="2" t="s">
        <v>16</v>
      </c>
      <c r="C382" s="2" t="s">
        <v>438</v>
      </c>
      <c r="D382" s="2" t="s">
        <v>439</v>
      </c>
      <c r="E382" s="2"/>
      <c r="F382" s="2"/>
      <c r="G382" s="2"/>
      <c r="H382" s="3" t="s">
        <v>911</v>
      </c>
      <c r="I382" s="3">
        <v>3317000</v>
      </c>
      <c r="J382" s="3" t="s">
        <v>912</v>
      </c>
      <c r="K382" s="3" t="s">
        <v>913</v>
      </c>
      <c r="L382" t="s">
        <v>1071</v>
      </c>
      <c r="M382" t="s">
        <v>1072</v>
      </c>
      <c r="N382" t="s">
        <v>1073</v>
      </c>
      <c r="O382" t="s">
        <v>1074</v>
      </c>
      <c r="P382" t="s">
        <v>1075</v>
      </c>
      <c r="Q382" t="s">
        <v>1076</v>
      </c>
      <c r="R382" t="s">
        <v>1077</v>
      </c>
      <c r="S382" t="s">
        <v>1078</v>
      </c>
      <c r="T382" t="s">
        <v>1079</v>
      </c>
      <c r="U382" t="s">
        <v>1080</v>
      </c>
      <c r="V382" t="s">
        <v>1081</v>
      </c>
      <c r="W382" t="s">
        <v>1082</v>
      </c>
      <c r="X382">
        <v>20240630</v>
      </c>
      <c r="Y382" t="s">
        <v>1083</v>
      </c>
      <c r="Z382" t="s">
        <v>1084</v>
      </c>
      <c r="AA382" s="11" t="str">
        <f t="shared" si="5"/>
        <v>EXEC [dbo].[BalanceGeneralInsertar] @Nivel ='Subcuenta',@Transaccional ='No',@CodigoCuentaContable ='240405', @NombreCuentaContable ='Vigencia fiscal corriente',@Identificacion ='',@Sucursal ='',@NombreTercero ='',@SaldoInicial = -7512242.66,@MovimientoDebito = 3317000,@MovimientoCredito =1476027.78,@SaldoFinal = 1476027.78,@Fecha ='20240630',@IdentificacionCliente = '901434038';</v>
      </c>
      <c r="AB382" t="s">
        <v>1085</v>
      </c>
    </row>
    <row r="383" spans="1:28" x14ac:dyDescent="0.25">
      <c r="A383" s="2" t="s">
        <v>28</v>
      </c>
      <c r="B383" s="2" t="s">
        <v>29</v>
      </c>
      <c r="C383" s="2" t="s">
        <v>440</v>
      </c>
      <c r="D383" s="2" t="s">
        <v>439</v>
      </c>
      <c r="E383" s="2" t="s">
        <v>39</v>
      </c>
      <c r="F383" s="2"/>
      <c r="G383" s="2" t="s">
        <v>40</v>
      </c>
      <c r="H383" s="3" t="s">
        <v>911</v>
      </c>
      <c r="I383" s="3">
        <v>3317000</v>
      </c>
      <c r="J383" s="3" t="s">
        <v>912</v>
      </c>
      <c r="K383" s="3" t="s">
        <v>913</v>
      </c>
      <c r="L383" t="s">
        <v>1071</v>
      </c>
      <c r="M383" t="s">
        <v>1072</v>
      </c>
      <c r="N383" t="s">
        <v>1073</v>
      </c>
      <c r="O383" t="s">
        <v>1074</v>
      </c>
      <c r="P383" t="s">
        <v>1075</v>
      </c>
      <c r="Q383" t="s">
        <v>1076</v>
      </c>
      <c r="R383" t="s">
        <v>1077</v>
      </c>
      <c r="S383" t="s">
        <v>1078</v>
      </c>
      <c r="T383" t="s">
        <v>1079</v>
      </c>
      <c r="U383" t="s">
        <v>1080</v>
      </c>
      <c r="V383" t="s">
        <v>1081</v>
      </c>
      <c r="W383" t="s">
        <v>1082</v>
      </c>
      <c r="X383">
        <v>20240630</v>
      </c>
      <c r="Y383" t="s">
        <v>1083</v>
      </c>
      <c r="Z383" t="s">
        <v>1084</v>
      </c>
      <c r="AA383" s="11" t="str">
        <f t="shared" si="5"/>
        <v>EXEC [dbo].[BalanceGeneralInsertar] @Nivel ='Auxiliar',@Transaccional ='Sí',@CodigoCuentaContable ='24040501', @NombreCuentaContable ='Vigencia fiscal corriente',@Identificacion ='800197268',@Sucursal ='',@NombreTercero ='DIAN',@SaldoInicial = -7512242.66,@MovimientoDebito = 3317000,@MovimientoCredito =1476027.78,@SaldoFinal = 1476027.78,@Fecha ='20240630',@IdentificacionCliente = '901434038';</v>
      </c>
      <c r="AB383" t="s">
        <v>1085</v>
      </c>
    </row>
    <row r="384" spans="1:28" x14ac:dyDescent="0.25">
      <c r="A384" s="2" t="s">
        <v>22</v>
      </c>
      <c r="B384" s="2" t="s">
        <v>16</v>
      </c>
      <c r="C384" s="2" t="s">
        <v>441</v>
      </c>
      <c r="D384" s="2" t="s">
        <v>442</v>
      </c>
      <c r="E384" s="2"/>
      <c r="F384" s="2"/>
      <c r="G384" s="2"/>
      <c r="H384" s="3" t="s">
        <v>914</v>
      </c>
      <c r="I384" s="3" t="s">
        <v>915</v>
      </c>
      <c r="J384" s="3" t="s">
        <v>916</v>
      </c>
      <c r="K384" s="3" t="s">
        <v>917</v>
      </c>
      <c r="L384" t="s">
        <v>1071</v>
      </c>
      <c r="M384" t="s">
        <v>1072</v>
      </c>
      <c r="N384" t="s">
        <v>1073</v>
      </c>
      <c r="O384" t="s">
        <v>1074</v>
      </c>
      <c r="P384" t="s">
        <v>1075</v>
      </c>
      <c r="Q384" t="s">
        <v>1076</v>
      </c>
      <c r="R384" t="s">
        <v>1077</v>
      </c>
      <c r="S384" t="s">
        <v>1078</v>
      </c>
      <c r="T384" t="s">
        <v>1079</v>
      </c>
      <c r="U384" t="s">
        <v>1080</v>
      </c>
      <c r="V384" t="s">
        <v>1081</v>
      </c>
      <c r="W384" t="s">
        <v>1082</v>
      </c>
      <c r="X384">
        <v>20240630</v>
      </c>
      <c r="Y384" t="s">
        <v>1083</v>
      </c>
      <c r="Z384" t="s">
        <v>1084</v>
      </c>
      <c r="AA384" s="11" t="str">
        <f t="shared" si="5"/>
        <v>EXEC [dbo].[BalanceGeneralInsertar] @Nivel ='Cuenta',@Transaccional ='No',@CodigoCuentaContable ='2408', @NombreCuentaContable ='Impuesto sobre las ventas por pagar',@Identificacion ='',@Sucursal ='',@NombreTercero ='',@SaldoInicial = -16899194.73,@MovimientoDebito = 38326677.02,@MovimientoCredito =22530447.44,@SaldoFinal = 22530447.44,@Fecha ='20240630',@IdentificacionCliente = '901434038';</v>
      </c>
      <c r="AB384" t="s">
        <v>1085</v>
      </c>
    </row>
    <row r="385" spans="1:28" x14ac:dyDescent="0.25">
      <c r="A385" s="2" t="s">
        <v>25</v>
      </c>
      <c r="B385" s="2" t="s">
        <v>16</v>
      </c>
      <c r="C385" s="2" t="s">
        <v>443</v>
      </c>
      <c r="D385" s="2" t="s">
        <v>444</v>
      </c>
      <c r="E385" s="2"/>
      <c r="F385" s="2"/>
      <c r="G385" s="2"/>
      <c r="H385" s="3" t="s">
        <v>918</v>
      </c>
      <c r="I385" s="3" t="s">
        <v>919</v>
      </c>
      <c r="J385" s="3" t="s">
        <v>920</v>
      </c>
      <c r="K385" s="3">
        <v>0</v>
      </c>
      <c r="L385" t="s">
        <v>1071</v>
      </c>
      <c r="M385" t="s">
        <v>1072</v>
      </c>
      <c r="N385" t="s">
        <v>1073</v>
      </c>
      <c r="O385" t="s">
        <v>1074</v>
      </c>
      <c r="P385" t="s">
        <v>1075</v>
      </c>
      <c r="Q385" t="s">
        <v>1076</v>
      </c>
      <c r="R385" t="s">
        <v>1077</v>
      </c>
      <c r="S385" t="s">
        <v>1078</v>
      </c>
      <c r="T385" t="s">
        <v>1079</v>
      </c>
      <c r="U385" t="s">
        <v>1080</v>
      </c>
      <c r="V385" t="s">
        <v>1081</v>
      </c>
      <c r="W385" t="s">
        <v>1082</v>
      </c>
      <c r="X385">
        <v>20240630</v>
      </c>
      <c r="Y385" t="s">
        <v>1083</v>
      </c>
      <c r="Z385" t="s">
        <v>1084</v>
      </c>
      <c r="AA385" s="11" t="str">
        <f t="shared" si="5"/>
        <v>EXEC [dbo].[BalanceGeneralInsertar] @Nivel ='Subcuenta',@Transaccional ='No',@CodigoCuentaContable ='240806', @NombreCuentaContable ='Iva generado',@Identificacion ='',@Sucursal ='',@NombreTercero ='',@SaldoInicial = -17566322.13,@MovimientoDebito = 34318957.45,@MovimientoCredito =16752635.32,@SaldoFinal = 16752635.32,@Fecha ='20240630',@IdentificacionCliente = '901434038';</v>
      </c>
      <c r="AB385" t="s">
        <v>1085</v>
      </c>
    </row>
    <row r="386" spans="1:28" x14ac:dyDescent="0.25">
      <c r="A386" s="2" t="s">
        <v>28</v>
      </c>
      <c r="B386" s="2" t="s">
        <v>29</v>
      </c>
      <c r="C386" s="2" t="s">
        <v>445</v>
      </c>
      <c r="D386" s="2" t="s">
        <v>444</v>
      </c>
      <c r="E386" s="2" t="s">
        <v>39</v>
      </c>
      <c r="F386" s="2"/>
      <c r="G386" s="2" t="s">
        <v>40</v>
      </c>
      <c r="H386" s="3" t="s">
        <v>921</v>
      </c>
      <c r="I386" s="3" t="s">
        <v>919</v>
      </c>
      <c r="J386" s="3">
        <v>0</v>
      </c>
      <c r="K386" s="3" t="s">
        <v>922</v>
      </c>
      <c r="L386" t="s">
        <v>1071</v>
      </c>
      <c r="M386" t="s">
        <v>1072</v>
      </c>
      <c r="N386" t="s">
        <v>1073</v>
      </c>
      <c r="O386" t="s">
        <v>1074</v>
      </c>
      <c r="P386" t="s">
        <v>1075</v>
      </c>
      <c r="Q386" t="s">
        <v>1076</v>
      </c>
      <c r="R386" t="s">
        <v>1077</v>
      </c>
      <c r="S386" t="s">
        <v>1078</v>
      </c>
      <c r="T386" t="s">
        <v>1079</v>
      </c>
      <c r="U386" t="s">
        <v>1080</v>
      </c>
      <c r="V386" t="s">
        <v>1081</v>
      </c>
      <c r="W386" t="s">
        <v>1082</v>
      </c>
      <c r="X386">
        <v>20240630</v>
      </c>
      <c r="Y386" t="s">
        <v>1083</v>
      </c>
      <c r="Z386" t="s">
        <v>1084</v>
      </c>
      <c r="AA386" s="11" t="str">
        <f t="shared" si="5"/>
        <v>EXEC [dbo].[BalanceGeneralInsertar] @Nivel ='Auxiliar',@Transaccional ='Sí',@CodigoCuentaContable ='24080601', @NombreCuentaContable ='Iva generado',@Identificacion ='800197268',@Sucursal ='',@NombreTercero ='DIAN',@SaldoInicial = 392280116.86,@MovimientoDebito = 34318957.45,@MovimientoCredito =0,@SaldoFinal = 0,@Fecha ='20240630',@IdentificacionCliente = '901434038';</v>
      </c>
      <c r="AB386" t="s">
        <v>1085</v>
      </c>
    </row>
    <row r="387" spans="1:28" x14ac:dyDescent="0.25">
      <c r="A387" s="2" t="s">
        <v>28</v>
      </c>
      <c r="B387" s="2" t="s">
        <v>29</v>
      </c>
      <c r="C387" s="2" t="s">
        <v>445</v>
      </c>
      <c r="D387" s="2" t="s">
        <v>444</v>
      </c>
      <c r="E387" s="2" t="s">
        <v>115</v>
      </c>
      <c r="F387" s="2"/>
      <c r="G387" s="2" t="s">
        <v>116</v>
      </c>
      <c r="H387" s="3" t="s">
        <v>923</v>
      </c>
      <c r="I387" s="3">
        <v>0</v>
      </c>
      <c r="J387" s="3">
        <v>0</v>
      </c>
      <c r="K387" s="3" t="s">
        <v>923</v>
      </c>
      <c r="L387" t="s">
        <v>1071</v>
      </c>
      <c r="M387" t="s">
        <v>1072</v>
      </c>
      <c r="N387" t="s">
        <v>1073</v>
      </c>
      <c r="O387" t="s">
        <v>1074</v>
      </c>
      <c r="P387" t="s">
        <v>1075</v>
      </c>
      <c r="Q387" t="s">
        <v>1076</v>
      </c>
      <c r="R387" t="s">
        <v>1077</v>
      </c>
      <c r="S387" t="s">
        <v>1078</v>
      </c>
      <c r="T387" t="s">
        <v>1079</v>
      </c>
      <c r="U387" t="s">
        <v>1080</v>
      </c>
      <c r="V387" t="s">
        <v>1081</v>
      </c>
      <c r="W387" t="s">
        <v>1082</v>
      </c>
      <c r="X387">
        <v>20240630</v>
      </c>
      <c r="Y387" t="s">
        <v>1083</v>
      </c>
      <c r="Z387" t="s">
        <v>1084</v>
      </c>
      <c r="AA387" s="11" t="str">
        <f t="shared" si="5"/>
        <v>EXEC [dbo].[BalanceGeneralInsertar] @Nivel ='Auxiliar',@Transaccional ='Sí',@CodigoCuentaContable ='24080601', @NombreCuentaContable ='Iva generado',@Identificacion ='901093584',@Sucursal ='',@NombreTercero ='VITTI S A S',@SaldoInicial = -39222413.56,@MovimientoDebito = 0,@MovimientoCredito =0,@SaldoFinal = 0,@Fecha ='20240630',@IdentificacionCliente = '901434038';</v>
      </c>
      <c r="AB387" t="s">
        <v>1085</v>
      </c>
    </row>
    <row r="388" spans="1:28" x14ac:dyDescent="0.25">
      <c r="A388" s="2" t="s">
        <v>28</v>
      </c>
      <c r="B388" s="2" t="s">
        <v>29</v>
      </c>
      <c r="C388" s="2" t="s">
        <v>445</v>
      </c>
      <c r="D388" s="2" t="s">
        <v>444</v>
      </c>
      <c r="E388" s="2" t="s">
        <v>103</v>
      </c>
      <c r="F388" s="2"/>
      <c r="G388" s="2" t="s">
        <v>104</v>
      </c>
      <c r="H388" s="3" t="s">
        <v>924</v>
      </c>
      <c r="I388" s="3">
        <v>0</v>
      </c>
      <c r="J388" s="3">
        <v>0</v>
      </c>
      <c r="K388" s="3" t="s">
        <v>924</v>
      </c>
      <c r="L388" t="s">
        <v>1071</v>
      </c>
      <c r="M388" t="s">
        <v>1072</v>
      </c>
      <c r="N388" t="s">
        <v>1073</v>
      </c>
      <c r="O388" t="s">
        <v>1074</v>
      </c>
      <c r="P388" t="s">
        <v>1075</v>
      </c>
      <c r="Q388" t="s">
        <v>1076</v>
      </c>
      <c r="R388" t="s">
        <v>1077</v>
      </c>
      <c r="S388" t="s">
        <v>1078</v>
      </c>
      <c r="T388" t="s">
        <v>1079</v>
      </c>
      <c r="U388" t="s">
        <v>1080</v>
      </c>
      <c r="V388" t="s">
        <v>1081</v>
      </c>
      <c r="W388" t="s">
        <v>1082</v>
      </c>
      <c r="X388">
        <v>20240630</v>
      </c>
      <c r="Y388" t="s">
        <v>1083</v>
      </c>
      <c r="Z388" t="s">
        <v>1084</v>
      </c>
      <c r="AA388" s="11" t="str">
        <f t="shared" si="5"/>
        <v>EXEC [dbo].[BalanceGeneralInsertar] @Nivel ='Auxiliar',@Transaccional ='Sí',@CodigoCuentaContable ='24080601', @NombreCuentaContable ='Iva generado',@Identificacion ='900297847',@Sucursal ='',@NombreTercero ='CENTRO CONTRA EFECTOS DE LA EDAD S.A.S',@SaldoInicial = -28964177.6,@MovimientoDebito = 0,@MovimientoCredito =0,@SaldoFinal = 0,@Fecha ='20240630',@IdentificacionCliente = '901434038';</v>
      </c>
      <c r="AB388" t="s">
        <v>1085</v>
      </c>
    </row>
    <row r="389" spans="1:28" x14ac:dyDescent="0.25">
      <c r="A389" s="2" t="s">
        <v>28</v>
      </c>
      <c r="B389" s="2" t="s">
        <v>29</v>
      </c>
      <c r="C389" s="2" t="s">
        <v>445</v>
      </c>
      <c r="D389" s="2" t="s">
        <v>444</v>
      </c>
      <c r="E389" s="2" t="s">
        <v>105</v>
      </c>
      <c r="F389" s="2"/>
      <c r="G389" s="2" t="s">
        <v>106</v>
      </c>
      <c r="H389" s="3" t="s">
        <v>925</v>
      </c>
      <c r="I389" s="3">
        <v>0</v>
      </c>
      <c r="J389" s="3">
        <v>0</v>
      </c>
      <c r="K389" s="3" t="s">
        <v>925</v>
      </c>
      <c r="L389" t="s">
        <v>1071</v>
      </c>
      <c r="M389" t="s">
        <v>1072</v>
      </c>
      <c r="N389" t="s">
        <v>1073</v>
      </c>
      <c r="O389" t="s">
        <v>1074</v>
      </c>
      <c r="P389" t="s">
        <v>1075</v>
      </c>
      <c r="Q389" t="s">
        <v>1076</v>
      </c>
      <c r="R389" t="s">
        <v>1077</v>
      </c>
      <c r="S389" t="s">
        <v>1078</v>
      </c>
      <c r="T389" t="s">
        <v>1079</v>
      </c>
      <c r="U389" t="s">
        <v>1080</v>
      </c>
      <c r="V389" t="s">
        <v>1081</v>
      </c>
      <c r="W389" t="s">
        <v>1082</v>
      </c>
      <c r="X389">
        <v>20240630</v>
      </c>
      <c r="Y389" t="s">
        <v>1083</v>
      </c>
      <c r="Z389" t="s">
        <v>1084</v>
      </c>
      <c r="AA389" s="11" t="str">
        <f t="shared" si="5"/>
        <v>EXEC [dbo].[BalanceGeneralInsertar] @Nivel ='Auxiliar',@Transaccional ='Sí',@CodigoCuentaContable ='24080601', @NombreCuentaContable ='Iva generado',@Identificacion ='901000155',@Sucursal ='',@NombreTercero ='DELUXE BY CRISTINA JARAMILLO S.A.S',@SaldoInicial = -38011594.45,@MovimientoDebito = 0,@MovimientoCredito =0,@SaldoFinal = 0,@Fecha ='20240630',@IdentificacionCliente = '901434038';</v>
      </c>
      <c r="AB389" t="s">
        <v>1085</v>
      </c>
    </row>
    <row r="390" spans="1:28" x14ac:dyDescent="0.25">
      <c r="A390" s="2" t="s">
        <v>28</v>
      </c>
      <c r="B390" s="2" t="s">
        <v>29</v>
      </c>
      <c r="C390" s="2" t="s">
        <v>445</v>
      </c>
      <c r="D390" s="2" t="s">
        <v>444</v>
      </c>
      <c r="E390" s="2" t="s">
        <v>109</v>
      </c>
      <c r="F390" s="2"/>
      <c r="G390" s="2" t="s">
        <v>110</v>
      </c>
      <c r="H390" s="3">
        <v>-18240</v>
      </c>
      <c r="I390" s="3">
        <v>0</v>
      </c>
      <c r="J390" s="3">
        <v>0</v>
      </c>
      <c r="K390" s="3">
        <v>-18240</v>
      </c>
      <c r="L390" t="s">
        <v>1071</v>
      </c>
      <c r="M390" t="s">
        <v>1072</v>
      </c>
      <c r="N390" t="s">
        <v>1073</v>
      </c>
      <c r="O390" t="s">
        <v>1074</v>
      </c>
      <c r="P390" t="s">
        <v>1075</v>
      </c>
      <c r="Q390" t="s">
        <v>1076</v>
      </c>
      <c r="R390" t="s">
        <v>1077</v>
      </c>
      <c r="S390" t="s">
        <v>1078</v>
      </c>
      <c r="T390" t="s">
        <v>1079</v>
      </c>
      <c r="U390" t="s">
        <v>1080</v>
      </c>
      <c r="V390" t="s">
        <v>1081</v>
      </c>
      <c r="W390" t="s">
        <v>1082</v>
      </c>
      <c r="X390">
        <v>20240630</v>
      </c>
      <c r="Y390" t="s">
        <v>1083</v>
      </c>
      <c r="Z390" t="s">
        <v>1084</v>
      </c>
      <c r="AA390" s="11" t="str">
        <f t="shared" si="5"/>
        <v>EXEC [dbo].[BalanceGeneralInsertar] @Nivel ='Auxiliar',@Transaccional ='Sí',@CodigoCuentaContable ='24080601', @NombreCuentaContable ='Iva generado',@Identificacion ='53120695',@Sucursal ='',@NombreTercero ='ADRIANA MARCELA WALTEROS RINCON',@SaldoInicial = -18240,@MovimientoDebito = 0,@MovimientoCredito =0,@SaldoFinal = 0,@Fecha ='20240630',@IdentificacionCliente = '901434038';</v>
      </c>
      <c r="AB390" t="s">
        <v>1085</v>
      </c>
    </row>
    <row r="391" spans="1:28" x14ac:dyDescent="0.25">
      <c r="A391" s="2" t="s">
        <v>28</v>
      </c>
      <c r="B391" s="2" t="s">
        <v>29</v>
      </c>
      <c r="C391" s="2" t="s">
        <v>445</v>
      </c>
      <c r="D391" s="2" t="s">
        <v>444</v>
      </c>
      <c r="E391" s="2" t="s">
        <v>89</v>
      </c>
      <c r="F391" s="2"/>
      <c r="G391" s="2" t="s">
        <v>90</v>
      </c>
      <c r="H391" s="3" t="s">
        <v>926</v>
      </c>
      <c r="I391" s="3">
        <v>0</v>
      </c>
      <c r="J391" s="3" t="s">
        <v>927</v>
      </c>
      <c r="K391" s="3" t="s">
        <v>928</v>
      </c>
      <c r="L391" t="s">
        <v>1071</v>
      </c>
      <c r="M391" t="s">
        <v>1072</v>
      </c>
      <c r="N391" t="s">
        <v>1073</v>
      </c>
      <c r="O391" t="s">
        <v>1074</v>
      </c>
      <c r="P391" t="s">
        <v>1075</v>
      </c>
      <c r="Q391" t="s">
        <v>1076</v>
      </c>
      <c r="R391" t="s">
        <v>1077</v>
      </c>
      <c r="S391" t="s">
        <v>1078</v>
      </c>
      <c r="T391" t="s">
        <v>1079</v>
      </c>
      <c r="U391" t="s">
        <v>1080</v>
      </c>
      <c r="V391" t="s">
        <v>1081</v>
      </c>
      <c r="W391" t="s">
        <v>1082</v>
      </c>
      <c r="X391">
        <v>20240630</v>
      </c>
      <c r="Y391" t="s">
        <v>1083</v>
      </c>
      <c r="Z391" t="s">
        <v>1084</v>
      </c>
      <c r="AA391" s="11" t="str">
        <f t="shared" si="5"/>
        <v>EXEC [dbo].[BalanceGeneralInsertar] @Nivel ='Auxiliar',@Transaccional ='Sí',@CodigoCuentaContable ='24080601', @NombreCuentaContable ='Iva generado',@Identificacion ='900192072',@Sucursal ='',@NombreTercero ='SEOUL MEDICINA ESTETICA INTEGRAL Y SPA S.A.',@SaldoInicial = -42168715.26,@MovimientoDebito = 0,@MovimientoCredito =1277310.91,@SaldoFinal = 1277310.91,@Fecha ='20240630',@IdentificacionCliente = '901434038';</v>
      </c>
      <c r="AB391" t="s">
        <v>1085</v>
      </c>
    </row>
    <row r="392" spans="1:28" x14ac:dyDescent="0.25">
      <c r="A392" s="2" t="s">
        <v>28</v>
      </c>
      <c r="B392" s="2" t="s">
        <v>29</v>
      </c>
      <c r="C392" s="2" t="s">
        <v>445</v>
      </c>
      <c r="D392" s="2" t="s">
        <v>444</v>
      </c>
      <c r="E392" s="2" t="s">
        <v>71</v>
      </c>
      <c r="F392" s="2"/>
      <c r="G392" s="2" t="s">
        <v>72</v>
      </c>
      <c r="H392" s="3" t="s">
        <v>929</v>
      </c>
      <c r="I392" s="3">
        <v>0</v>
      </c>
      <c r="J392" s="3" t="s">
        <v>930</v>
      </c>
      <c r="K392" s="3" t="s">
        <v>931</v>
      </c>
      <c r="L392" t="s">
        <v>1071</v>
      </c>
      <c r="M392" t="s">
        <v>1072</v>
      </c>
      <c r="N392" t="s">
        <v>1073</v>
      </c>
      <c r="O392" t="s">
        <v>1074</v>
      </c>
      <c r="P392" t="s">
        <v>1075</v>
      </c>
      <c r="Q392" t="s">
        <v>1076</v>
      </c>
      <c r="R392" t="s">
        <v>1077</v>
      </c>
      <c r="S392" t="s">
        <v>1078</v>
      </c>
      <c r="T392" t="s">
        <v>1079</v>
      </c>
      <c r="U392" t="s">
        <v>1080</v>
      </c>
      <c r="V392" t="s">
        <v>1081</v>
      </c>
      <c r="W392" t="s">
        <v>1082</v>
      </c>
      <c r="X392">
        <v>20240630</v>
      </c>
      <c r="Y392" t="s">
        <v>1083</v>
      </c>
      <c r="Z392" t="s">
        <v>1084</v>
      </c>
      <c r="AA392" s="11" t="str">
        <f t="shared" si="5"/>
        <v>EXEC [dbo].[BalanceGeneralInsertar] @Nivel ='Auxiliar',@Transaccional ='Sí',@CodigoCuentaContable ='24080601', @NombreCuentaContable ='Iva generado',@Identificacion ='901477526',@Sucursal ='',@NombreTercero ='SABANA MEDICAL SPA SAS',@SaldoInicial = -18979857.37,@MovimientoDebito = 0,@MovimientoCredito =2106398.71,@SaldoFinal = 2106398.71,@Fecha ='20240630',@IdentificacionCliente = '901434038';</v>
      </c>
      <c r="AB392" t="s">
        <v>1085</v>
      </c>
    </row>
    <row r="393" spans="1:28" x14ac:dyDescent="0.25">
      <c r="A393" s="2" t="s">
        <v>28</v>
      </c>
      <c r="B393" s="2" t="s">
        <v>29</v>
      </c>
      <c r="C393" s="2" t="s">
        <v>445</v>
      </c>
      <c r="D393" s="2" t="s">
        <v>444</v>
      </c>
      <c r="E393" s="2" t="s">
        <v>73</v>
      </c>
      <c r="F393" s="2"/>
      <c r="G393" s="2" t="s">
        <v>74</v>
      </c>
      <c r="H393" s="3" t="s">
        <v>932</v>
      </c>
      <c r="I393" s="3">
        <v>0</v>
      </c>
      <c r="J393" s="3" t="s">
        <v>933</v>
      </c>
      <c r="K393" s="3" t="s">
        <v>934</v>
      </c>
      <c r="L393" t="s">
        <v>1071</v>
      </c>
      <c r="M393" t="s">
        <v>1072</v>
      </c>
      <c r="N393" t="s">
        <v>1073</v>
      </c>
      <c r="O393" t="s">
        <v>1074</v>
      </c>
      <c r="P393" t="s">
        <v>1075</v>
      </c>
      <c r="Q393" t="s">
        <v>1076</v>
      </c>
      <c r="R393" t="s">
        <v>1077</v>
      </c>
      <c r="S393" t="s">
        <v>1078</v>
      </c>
      <c r="T393" t="s">
        <v>1079</v>
      </c>
      <c r="U393" t="s">
        <v>1080</v>
      </c>
      <c r="V393" t="s">
        <v>1081</v>
      </c>
      <c r="W393" t="s">
        <v>1082</v>
      </c>
      <c r="X393">
        <v>20240630</v>
      </c>
      <c r="Y393" t="s">
        <v>1083</v>
      </c>
      <c r="Z393" t="s">
        <v>1084</v>
      </c>
      <c r="AA393" s="11" t="str">
        <f t="shared" si="5"/>
        <v>EXEC [dbo].[BalanceGeneralInsertar] @Nivel ='Auxiliar',@Transaccional ='Sí',@CodigoCuentaContable ='24080601', @NombreCuentaContable ='Iva generado',@Identificacion ='901020041',@Sucursal ='',@NombreTercero ='BENESSERE S.A.S',@SaldoInicial = -70307979.95,@MovimientoDebito = 0,@MovimientoCredito =3617007.01,@SaldoFinal = 3617007.01,@Fecha ='20240630',@IdentificacionCliente = '901434038';</v>
      </c>
      <c r="AB393" t="s">
        <v>1085</v>
      </c>
    </row>
    <row r="394" spans="1:28" x14ac:dyDescent="0.25">
      <c r="A394" s="2" t="s">
        <v>28</v>
      </c>
      <c r="B394" s="2" t="s">
        <v>29</v>
      </c>
      <c r="C394" s="2" t="s">
        <v>445</v>
      </c>
      <c r="D394" s="2" t="s">
        <v>444</v>
      </c>
      <c r="E394" s="2" t="s">
        <v>51</v>
      </c>
      <c r="F394" s="2"/>
      <c r="G394" s="2" t="s">
        <v>52</v>
      </c>
      <c r="H394" s="3" t="s">
        <v>935</v>
      </c>
      <c r="I394" s="3">
        <v>0</v>
      </c>
      <c r="J394" s="3" t="s">
        <v>936</v>
      </c>
      <c r="K394" s="3" t="s">
        <v>937</v>
      </c>
      <c r="L394" t="s">
        <v>1071</v>
      </c>
      <c r="M394" t="s">
        <v>1072</v>
      </c>
      <c r="N394" t="s">
        <v>1073</v>
      </c>
      <c r="O394" t="s">
        <v>1074</v>
      </c>
      <c r="P394" t="s">
        <v>1075</v>
      </c>
      <c r="Q394" t="s">
        <v>1076</v>
      </c>
      <c r="R394" t="s">
        <v>1077</v>
      </c>
      <c r="S394" t="s">
        <v>1078</v>
      </c>
      <c r="T394" t="s">
        <v>1079</v>
      </c>
      <c r="U394" t="s">
        <v>1080</v>
      </c>
      <c r="V394" t="s">
        <v>1081</v>
      </c>
      <c r="W394" t="s">
        <v>1082</v>
      </c>
      <c r="X394">
        <v>20240630</v>
      </c>
      <c r="Y394" t="s">
        <v>1083</v>
      </c>
      <c r="Z394" t="s">
        <v>1084</v>
      </c>
      <c r="AA394" s="11" t="str">
        <f t="shared" ref="AA394:AA457" si="6">_xlfn.CONCAT(L394,Y394,A394,Y394,Z394,M394,Y394,B394,Y394,Z394,N394,Y394,C394,Y394,Z394,AB394,Y394,D394,Y394,Z394,O394,Y394,E394,Y394,Z394,P394,Y394,F394,Y394,Z394,Q394,Y394,G394,Y394,Z394,R394,H394,Z394,S394,I394,Z394,T394,J394,Z394,U394,J394,Z394,V394,Y394,X394,Y394,Z394,W394,Y394,"901434038",Y394,";")</f>
        <v>EXEC [dbo].[BalanceGeneralInsertar] @Nivel ='Auxiliar',@Transaccional ='Sí',@CodigoCuentaContable ='24080601', @NombreCuentaContable ='Iva generado',@Identificacion ='901733873',@Sucursal ='',@NombreTercero ='AV SALUD INTEGRAL SAS',@SaldoInicial = -13235268.53,@MovimientoDebito = 0,@MovimientoCredito =1042250.32,@SaldoFinal = 1042250.32,@Fecha ='20240630',@IdentificacionCliente = '901434038';</v>
      </c>
      <c r="AB394" t="s">
        <v>1085</v>
      </c>
    </row>
    <row r="395" spans="1:28" x14ac:dyDescent="0.25">
      <c r="A395" s="2" t="s">
        <v>28</v>
      </c>
      <c r="B395" s="2" t="s">
        <v>29</v>
      </c>
      <c r="C395" s="2" t="s">
        <v>445</v>
      </c>
      <c r="D395" s="2" t="s">
        <v>444</v>
      </c>
      <c r="E395" s="2" t="s">
        <v>53</v>
      </c>
      <c r="F395" s="2"/>
      <c r="G395" s="2" t="s">
        <v>54</v>
      </c>
      <c r="H395" s="3">
        <v>-152000</v>
      </c>
      <c r="I395" s="3">
        <v>0</v>
      </c>
      <c r="J395" s="3">
        <v>0</v>
      </c>
      <c r="K395" s="3">
        <v>-152000</v>
      </c>
      <c r="L395" t="s">
        <v>1071</v>
      </c>
      <c r="M395" t="s">
        <v>1072</v>
      </c>
      <c r="N395" t="s">
        <v>1073</v>
      </c>
      <c r="O395" t="s">
        <v>1074</v>
      </c>
      <c r="P395" t="s">
        <v>1075</v>
      </c>
      <c r="Q395" t="s">
        <v>1076</v>
      </c>
      <c r="R395" t="s">
        <v>1077</v>
      </c>
      <c r="S395" t="s">
        <v>1078</v>
      </c>
      <c r="T395" t="s">
        <v>1079</v>
      </c>
      <c r="U395" t="s">
        <v>1080</v>
      </c>
      <c r="V395" t="s">
        <v>1081</v>
      </c>
      <c r="W395" t="s">
        <v>1082</v>
      </c>
      <c r="X395">
        <v>20240630</v>
      </c>
      <c r="Y395" t="s">
        <v>1083</v>
      </c>
      <c r="Z395" t="s">
        <v>1084</v>
      </c>
      <c r="AA395" s="11" t="str">
        <f t="shared" si="6"/>
        <v>EXEC [dbo].[BalanceGeneralInsertar] @Nivel ='Auxiliar',@Transaccional ='Sí',@CodigoCuentaContable ='24080601', @NombreCuentaContable ='Iva generado',@Identificacion ='901115633',@Sucursal ='',@NombreTercero ='CAROLINA MARTINEZ SAS',@SaldoInicial = -152000,@MovimientoDebito = 0,@MovimientoCredito =0,@SaldoFinal = 0,@Fecha ='20240630',@IdentificacionCliente = '901434038';</v>
      </c>
      <c r="AB395" t="s">
        <v>1085</v>
      </c>
    </row>
    <row r="396" spans="1:28" x14ac:dyDescent="0.25">
      <c r="A396" s="2" t="s">
        <v>28</v>
      </c>
      <c r="B396" s="2" t="s">
        <v>29</v>
      </c>
      <c r="C396" s="2" t="s">
        <v>445</v>
      </c>
      <c r="D396" s="2" t="s">
        <v>444</v>
      </c>
      <c r="E396" s="2" t="s">
        <v>57</v>
      </c>
      <c r="F396" s="2"/>
      <c r="G396" s="2" t="s">
        <v>58</v>
      </c>
      <c r="H396" s="3" t="s">
        <v>938</v>
      </c>
      <c r="I396" s="3">
        <v>0</v>
      </c>
      <c r="J396" s="3" t="s">
        <v>939</v>
      </c>
      <c r="K396" s="3" t="s">
        <v>940</v>
      </c>
      <c r="L396" t="s">
        <v>1071</v>
      </c>
      <c r="M396" t="s">
        <v>1072</v>
      </c>
      <c r="N396" t="s">
        <v>1073</v>
      </c>
      <c r="O396" t="s">
        <v>1074</v>
      </c>
      <c r="P396" t="s">
        <v>1075</v>
      </c>
      <c r="Q396" t="s">
        <v>1076</v>
      </c>
      <c r="R396" t="s">
        <v>1077</v>
      </c>
      <c r="S396" t="s">
        <v>1078</v>
      </c>
      <c r="T396" t="s">
        <v>1079</v>
      </c>
      <c r="U396" t="s">
        <v>1080</v>
      </c>
      <c r="V396" t="s">
        <v>1081</v>
      </c>
      <c r="W396" t="s">
        <v>1082</v>
      </c>
      <c r="X396">
        <v>20240630</v>
      </c>
      <c r="Y396" t="s">
        <v>1083</v>
      </c>
      <c r="Z396" t="s">
        <v>1084</v>
      </c>
      <c r="AA396" s="11" t="str">
        <f t="shared" si="6"/>
        <v>EXEC [dbo].[BalanceGeneralInsertar] @Nivel ='Auxiliar',@Transaccional ='Sí',@CodigoCuentaContable ='24080601', @NombreCuentaContable ='Iva generado',@Identificacion ='901745690',@Sucursal ='',@NombreTercero ='JOHANNA DAZA MEDICINA ANTIENVEJECIMIENTO S.A.S.',@SaldoInicial = -17763092.85,@MovimientoDebito = 0,@MovimientoCredito =1181512.53,@SaldoFinal = 1181512.53,@Fecha ='20240630',@IdentificacionCliente = '901434038';</v>
      </c>
      <c r="AB396" t="s">
        <v>1085</v>
      </c>
    </row>
    <row r="397" spans="1:28" x14ac:dyDescent="0.25">
      <c r="A397" s="2" t="s">
        <v>28</v>
      </c>
      <c r="B397" s="2" t="s">
        <v>29</v>
      </c>
      <c r="C397" s="2" t="s">
        <v>445</v>
      </c>
      <c r="D397" s="2" t="s">
        <v>444</v>
      </c>
      <c r="E397" s="2" t="s">
        <v>79</v>
      </c>
      <c r="F397" s="2"/>
      <c r="G397" s="2" t="s">
        <v>80</v>
      </c>
      <c r="H397" s="3" t="s">
        <v>941</v>
      </c>
      <c r="I397" s="3">
        <v>0</v>
      </c>
      <c r="J397" s="3" t="s">
        <v>942</v>
      </c>
      <c r="K397" s="3" t="s">
        <v>943</v>
      </c>
      <c r="L397" t="s">
        <v>1071</v>
      </c>
      <c r="M397" t="s">
        <v>1072</v>
      </c>
      <c r="N397" t="s">
        <v>1073</v>
      </c>
      <c r="O397" t="s">
        <v>1074</v>
      </c>
      <c r="P397" t="s">
        <v>1075</v>
      </c>
      <c r="Q397" t="s">
        <v>1076</v>
      </c>
      <c r="R397" t="s">
        <v>1077</v>
      </c>
      <c r="S397" t="s">
        <v>1078</v>
      </c>
      <c r="T397" t="s">
        <v>1079</v>
      </c>
      <c r="U397" t="s">
        <v>1080</v>
      </c>
      <c r="V397" t="s">
        <v>1081</v>
      </c>
      <c r="W397" t="s">
        <v>1082</v>
      </c>
      <c r="X397">
        <v>20240630</v>
      </c>
      <c r="Y397" t="s">
        <v>1083</v>
      </c>
      <c r="Z397" t="s">
        <v>1084</v>
      </c>
      <c r="AA397" s="11" t="str">
        <f t="shared" si="6"/>
        <v>EXEC [dbo].[BalanceGeneralInsertar] @Nivel ='Auxiliar',@Transaccional ='Sí',@CodigoCuentaContable ='24080601', @NombreCuentaContable ='Iva generado',@Identificacion ='901456421',@Sucursal ='',@NombreTercero ='DELUXE ORIENTE S.A.S',@SaldoInicial = -25561981.25,@MovimientoDebito = 0,@MovimientoCredito =2329995.65,@SaldoFinal = 2329995.65,@Fecha ='20240630',@IdentificacionCliente = '901434038';</v>
      </c>
      <c r="AB397" t="s">
        <v>1085</v>
      </c>
    </row>
    <row r="398" spans="1:28" x14ac:dyDescent="0.25">
      <c r="A398" s="2" t="s">
        <v>28</v>
      </c>
      <c r="B398" s="2" t="s">
        <v>29</v>
      </c>
      <c r="C398" s="2" t="s">
        <v>445</v>
      </c>
      <c r="D398" s="2" t="s">
        <v>444</v>
      </c>
      <c r="E398" s="2" t="s">
        <v>81</v>
      </c>
      <c r="F398" s="2"/>
      <c r="G398" s="2" t="s">
        <v>82</v>
      </c>
      <c r="H398" s="3">
        <v>-902557</v>
      </c>
      <c r="I398" s="3">
        <v>0</v>
      </c>
      <c r="J398" s="3">
        <v>0</v>
      </c>
      <c r="K398" s="3">
        <v>-902557</v>
      </c>
      <c r="L398" t="s">
        <v>1071</v>
      </c>
      <c r="M398" t="s">
        <v>1072</v>
      </c>
      <c r="N398" t="s">
        <v>1073</v>
      </c>
      <c r="O398" t="s">
        <v>1074</v>
      </c>
      <c r="P398" t="s">
        <v>1075</v>
      </c>
      <c r="Q398" t="s">
        <v>1076</v>
      </c>
      <c r="R398" t="s">
        <v>1077</v>
      </c>
      <c r="S398" t="s">
        <v>1078</v>
      </c>
      <c r="T398" t="s">
        <v>1079</v>
      </c>
      <c r="U398" t="s">
        <v>1080</v>
      </c>
      <c r="V398" t="s">
        <v>1081</v>
      </c>
      <c r="W398" t="s">
        <v>1082</v>
      </c>
      <c r="X398">
        <v>20240630</v>
      </c>
      <c r="Y398" t="s">
        <v>1083</v>
      </c>
      <c r="Z398" t="s">
        <v>1084</v>
      </c>
      <c r="AA398" s="11" t="str">
        <f t="shared" si="6"/>
        <v>EXEC [dbo].[BalanceGeneralInsertar] @Nivel ='Auxiliar',@Transaccional ='Sí',@CodigoCuentaContable ='24080601', @NombreCuentaContable ='Iva generado',@Identificacion ='1067897357',@Sucursal ='',@NombreTercero ='KATERINE SAEZ ZABALETA',@SaldoInicial = -902557,@MovimientoDebito = 0,@MovimientoCredito =0,@SaldoFinal = 0,@Fecha ='20240630',@IdentificacionCliente = '901434038';</v>
      </c>
      <c r="AB398" t="s">
        <v>1085</v>
      </c>
    </row>
    <row r="399" spans="1:28" x14ac:dyDescent="0.25">
      <c r="A399" s="2" t="s">
        <v>28</v>
      </c>
      <c r="B399" s="2" t="s">
        <v>29</v>
      </c>
      <c r="C399" s="2" t="s">
        <v>445</v>
      </c>
      <c r="D399" s="2" t="s">
        <v>444</v>
      </c>
      <c r="E399" s="2" t="s">
        <v>141</v>
      </c>
      <c r="F399" s="2"/>
      <c r="G399" s="2" t="s">
        <v>142</v>
      </c>
      <c r="H399" s="3" t="s">
        <v>944</v>
      </c>
      <c r="I399" s="3">
        <v>0</v>
      </c>
      <c r="J399" s="3" t="s">
        <v>945</v>
      </c>
      <c r="K399" s="3" t="s">
        <v>946</v>
      </c>
      <c r="L399" t="s">
        <v>1071</v>
      </c>
      <c r="M399" t="s">
        <v>1072</v>
      </c>
      <c r="N399" t="s">
        <v>1073</v>
      </c>
      <c r="O399" t="s">
        <v>1074</v>
      </c>
      <c r="P399" t="s">
        <v>1075</v>
      </c>
      <c r="Q399" t="s">
        <v>1076</v>
      </c>
      <c r="R399" t="s">
        <v>1077</v>
      </c>
      <c r="S399" t="s">
        <v>1078</v>
      </c>
      <c r="T399" t="s">
        <v>1079</v>
      </c>
      <c r="U399" t="s">
        <v>1080</v>
      </c>
      <c r="V399" t="s">
        <v>1081</v>
      </c>
      <c r="W399" t="s">
        <v>1082</v>
      </c>
      <c r="X399">
        <v>20240630</v>
      </c>
      <c r="Y399" t="s">
        <v>1083</v>
      </c>
      <c r="Z399" t="s">
        <v>1084</v>
      </c>
      <c r="AA399" s="11" t="str">
        <f t="shared" si="6"/>
        <v>EXEC [dbo].[BalanceGeneralInsertar] @Nivel ='Auxiliar',@Transaccional ='Sí',@CodigoCuentaContable ='24080601', @NombreCuentaContable ='Iva generado',@Identificacion ='901451874',@Sucursal ='',@NombreTercero ='CABARCAS GROUP S.A.S.',@SaldoInicial = -31016219.51,@MovimientoDebito = 0,@MovimientoCredito =1475773.13,@SaldoFinal = 1475773.13,@Fecha ='20240630',@IdentificacionCliente = '901434038';</v>
      </c>
      <c r="AB399" t="s">
        <v>1085</v>
      </c>
    </row>
    <row r="400" spans="1:28" x14ac:dyDescent="0.25">
      <c r="A400" s="2" t="s">
        <v>28</v>
      </c>
      <c r="B400" s="2" t="s">
        <v>29</v>
      </c>
      <c r="C400" s="2" t="s">
        <v>445</v>
      </c>
      <c r="D400" s="2" t="s">
        <v>444</v>
      </c>
      <c r="E400" s="2" t="s">
        <v>83</v>
      </c>
      <c r="F400" s="2"/>
      <c r="G400" s="2" t="s">
        <v>84</v>
      </c>
      <c r="H400" s="3" t="s">
        <v>947</v>
      </c>
      <c r="I400" s="3">
        <v>0</v>
      </c>
      <c r="J400" s="3">
        <v>0</v>
      </c>
      <c r="K400" s="3" t="s">
        <v>947</v>
      </c>
      <c r="L400" t="s">
        <v>1071</v>
      </c>
      <c r="M400" t="s">
        <v>1072</v>
      </c>
      <c r="N400" t="s">
        <v>1073</v>
      </c>
      <c r="O400" t="s">
        <v>1074</v>
      </c>
      <c r="P400" t="s">
        <v>1075</v>
      </c>
      <c r="Q400" t="s">
        <v>1076</v>
      </c>
      <c r="R400" t="s">
        <v>1077</v>
      </c>
      <c r="S400" t="s">
        <v>1078</v>
      </c>
      <c r="T400" t="s">
        <v>1079</v>
      </c>
      <c r="U400" t="s">
        <v>1080</v>
      </c>
      <c r="V400" t="s">
        <v>1081</v>
      </c>
      <c r="W400" t="s">
        <v>1082</v>
      </c>
      <c r="X400">
        <v>20240630</v>
      </c>
      <c r="Y400" t="s">
        <v>1083</v>
      </c>
      <c r="Z400" t="s">
        <v>1084</v>
      </c>
      <c r="AA400" s="11" t="str">
        <f t="shared" si="6"/>
        <v>EXEC [dbo].[BalanceGeneralInsertar] @Nivel ='Auxiliar',@Transaccional ='Sí',@CodigoCuentaContable ='24080601', @NombreCuentaContable ='Iva generado',@Identificacion ='830081040',@Sucursal ='',@NombreTercero ='INSTITUTO DE ESTETICA MEDICA DE COLOMBIA LTDA.',@SaldoInicial = -9946460.48,@MovimientoDebito = 0,@MovimientoCredito =0,@SaldoFinal = 0,@Fecha ='20240630',@IdentificacionCliente = '901434038';</v>
      </c>
      <c r="AB400" t="s">
        <v>1085</v>
      </c>
    </row>
    <row r="401" spans="1:28" x14ac:dyDescent="0.25">
      <c r="A401" s="2" t="s">
        <v>28</v>
      </c>
      <c r="B401" s="2" t="s">
        <v>29</v>
      </c>
      <c r="C401" s="2" t="s">
        <v>445</v>
      </c>
      <c r="D401" s="2" t="s">
        <v>444</v>
      </c>
      <c r="E401" s="2" t="s">
        <v>85</v>
      </c>
      <c r="F401" s="2"/>
      <c r="G401" s="2" t="s">
        <v>86</v>
      </c>
      <c r="H401" s="3" t="s">
        <v>948</v>
      </c>
      <c r="I401" s="3">
        <v>0</v>
      </c>
      <c r="J401" s="3">
        <v>1290886</v>
      </c>
      <c r="K401" s="3" t="s">
        <v>949</v>
      </c>
      <c r="L401" t="s">
        <v>1071</v>
      </c>
      <c r="M401" t="s">
        <v>1072</v>
      </c>
      <c r="N401" t="s">
        <v>1073</v>
      </c>
      <c r="O401" t="s">
        <v>1074</v>
      </c>
      <c r="P401" t="s">
        <v>1075</v>
      </c>
      <c r="Q401" t="s">
        <v>1076</v>
      </c>
      <c r="R401" t="s">
        <v>1077</v>
      </c>
      <c r="S401" t="s">
        <v>1078</v>
      </c>
      <c r="T401" t="s">
        <v>1079</v>
      </c>
      <c r="U401" t="s">
        <v>1080</v>
      </c>
      <c r="V401" t="s">
        <v>1081</v>
      </c>
      <c r="W401" t="s">
        <v>1082</v>
      </c>
      <c r="X401">
        <v>20240630</v>
      </c>
      <c r="Y401" t="s">
        <v>1083</v>
      </c>
      <c r="Z401" t="s">
        <v>1084</v>
      </c>
      <c r="AA401" s="11" t="str">
        <f t="shared" si="6"/>
        <v>EXEC [dbo].[BalanceGeneralInsertar] @Nivel ='Auxiliar',@Transaccional ='Sí',@CodigoCuentaContable ='24080601', @NombreCuentaContable ='Iva generado',@Identificacion ='901476016',@Sucursal ='',@NombreTercero ='ALESTETIC RIONEGRO S.A.S',@SaldoInicial = -29003752.51,@MovimientoDebito = 0,@MovimientoCredito =1290886,@SaldoFinal = 1290886,@Fecha ='20240630',@IdentificacionCliente = '901434038';</v>
      </c>
      <c r="AB401" t="s">
        <v>1085</v>
      </c>
    </row>
    <row r="402" spans="1:28" x14ac:dyDescent="0.25">
      <c r="A402" s="2" t="s">
        <v>28</v>
      </c>
      <c r="B402" s="2" t="s">
        <v>29</v>
      </c>
      <c r="C402" s="2" t="s">
        <v>445</v>
      </c>
      <c r="D402" s="2" t="s">
        <v>444</v>
      </c>
      <c r="E402" s="2" t="s">
        <v>67</v>
      </c>
      <c r="F402" s="2"/>
      <c r="G402" s="2" t="s">
        <v>68</v>
      </c>
      <c r="H402" s="3" t="s">
        <v>950</v>
      </c>
      <c r="I402" s="3">
        <v>0</v>
      </c>
      <c r="J402" s="3" t="s">
        <v>951</v>
      </c>
      <c r="K402" s="3" t="s">
        <v>952</v>
      </c>
      <c r="L402" t="s">
        <v>1071</v>
      </c>
      <c r="M402" t="s">
        <v>1072</v>
      </c>
      <c r="N402" t="s">
        <v>1073</v>
      </c>
      <c r="O402" t="s">
        <v>1074</v>
      </c>
      <c r="P402" t="s">
        <v>1075</v>
      </c>
      <c r="Q402" t="s">
        <v>1076</v>
      </c>
      <c r="R402" t="s">
        <v>1077</v>
      </c>
      <c r="S402" t="s">
        <v>1078</v>
      </c>
      <c r="T402" t="s">
        <v>1079</v>
      </c>
      <c r="U402" t="s">
        <v>1080</v>
      </c>
      <c r="V402" t="s">
        <v>1081</v>
      </c>
      <c r="W402" t="s">
        <v>1082</v>
      </c>
      <c r="X402">
        <v>20240630</v>
      </c>
      <c r="Y402" t="s">
        <v>1083</v>
      </c>
      <c r="Z402" t="s">
        <v>1084</v>
      </c>
      <c r="AA402" s="11" t="str">
        <f t="shared" si="6"/>
        <v>EXEC [dbo].[BalanceGeneralInsertar] @Nivel ='Auxiliar',@Transaccional ='Sí',@CodigoCuentaContable ='24080601', @NombreCuentaContable ='Iva generado',@Identificacion ='805020770',@Sucursal ='',@NombreTercero ='EUTOESTETICA SAS',@SaldoInicial = -11296218.78,@MovimientoDebito = 0,@MovimientoCredito =890126.06,@SaldoFinal = 890126.06,@Fecha ='20240630',@IdentificacionCliente = '901434038';</v>
      </c>
      <c r="AB402" t="s">
        <v>1085</v>
      </c>
    </row>
    <row r="403" spans="1:28" x14ac:dyDescent="0.25">
      <c r="A403" s="2" t="s">
        <v>28</v>
      </c>
      <c r="B403" s="2" t="s">
        <v>29</v>
      </c>
      <c r="C403" s="2" t="s">
        <v>445</v>
      </c>
      <c r="D403" s="2" t="s">
        <v>444</v>
      </c>
      <c r="E403" s="2" t="s">
        <v>91</v>
      </c>
      <c r="F403" s="2"/>
      <c r="G403" s="2" t="s">
        <v>92</v>
      </c>
      <c r="H403" s="3">
        <v>-132848</v>
      </c>
      <c r="I403" s="3">
        <v>0</v>
      </c>
      <c r="J403" s="3">
        <v>0</v>
      </c>
      <c r="K403" s="3">
        <v>-132848</v>
      </c>
      <c r="L403" t="s">
        <v>1071</v>
      </c>
      <c r="M403" t="s">
        <v>1072</v>
      </c>
      <c r="N403" t="s">
        <v>1073</v>
      </c>
      <c r="O403" t="s">
        <v>1074</v>
      </c>
      <c r="P403" t="s">
        <v>1075</v>
      </c>
      <c r="Q403" t="s">
        <v>1076</v>
      </c>
      <c r="R403" t="s">
        <v>1077</v>
      </c>
      <c r="S403" t="s">
        <v>1078</v>
      </c>
      <c r="T403" t="s">
        <v>1079</v>
      </c>
      <c r="U403" t="s">
        <v>1080</v>
      </c>
      <c r="V403" t="s">
        <v>1081</v>
      </c>
      <c r="W403" t="s">
        <v>1082</v>
      </c>
      <c r="X403">
        <v>20240630</v>
      </c>
      <c r="Y403" t="s">
        <v>1083</v>
      </c>
      <c r="Z403" t="s">
        <v>1084</v>
      </c>
      <c r="AA403" s="11" t="str">
        <f t="shared" si="6"/>
        <v>EXEC [dbo].[BalanceGeneralInsertar] @Nivel ='Auxiliar',@Transaccional ='Sí',@CodigoCuentaContable ='24080601', @NombreCuentaContable ='Iva generado',@Identificacion ='900308524',@Sucursal ='',@NombreTercero ='INTÉGRIM SAS',@SaldoInicial = -132848,@MovimientoDebito = 0,@MovimientoCredito =0,@SaldoFinal = 0,@Fecha ='20240630',@IdentificacionCliente = '901434038';</v>
      </c>
      <c r="AB403" t="s">
        <v>1085</v>
      </c>
    </row>
    <row r="404" spans="1:28" x14ac:dyDescent="0.25">
      <c r="A404" s="2" t="s">
        <v>28</v>
      </c>
      <c r="B404" s="2" t="s">
        <v>29</v>
      </c>
      <c r="C404" s="2" t="s">
        <v>445</v>
      </c>
      <c r="D404" s="2" t="s">
        <v>444</v>
      </c>
      <c r="E404" s="2" t="s">
        <v>93</v>
      </c>
      <c r="F404" s="2"/>
      <c r="G404" s="2" t="s">
        <v>94</v>
      </c>
      <c r="H404" s="3">
        <v>-3205300</v>
      </c>
      <c r="I404" s="3">
        <v>0</v>
      </c>
      <c r="J404" s="3">
        <v>0</v>
      </c>
      <c r="K404" s="3">
        <v>-3205300</v>
      </c>
      <c r="L404" t="s">
        <v>1071</v>
      </c>
      <c r="M404" t="s">
        <v>1072</v>
      </c>
      <c r="N404" t="s">
        <v>1073</v>
      </c>
      <c r="O404" t="s">
        <v>1074</v>
      </c>
      <c r="P404" t="s">
        <v>1075</v>
      </c>
      <c r="Q404" t="s">
        <v>1076</v>
      </c>
      <c r="R404" t="s">
        <v>1077</v>
      </c>
      <c r="S404" t="s">
        <v>1078</v>
      </c>
      <c r="T404" t="s">
        <v>1079</v>
      </c>
      <c r="U404" t="s">
        <v>1080</v>
      </c>
      <c r="V404" t="s">
        <v>1081</v>
      </c>
      <c r="W404" t="s">
        <v>1082</v>
      </c>
      <c r="X404">
        <v>20240630</v>
      </c>
      <c r="Y404" t="s">
        <v>1083</v>
      </c>
      <c r="Z404" t="s">
        <v>1084</v>
      </c>
      <c r="AA404" s="11" t="str">
        <f t="shared" si="6"/>
        <v>EXEC [dbo].[BalanceGeneralInsertar] @Nivel ='Auxiliar',@Transaccional ='Sí',@CodigoCuentaContable ='24080601', @NombreCuentaContable ='Iva generado',@Identificacion ='9900308524',@Sucursal ='',@NombreTercero ='INTÉGRIM S A S',@SaldoInicial = -3205300,@MovimientoDebito = 0,@MovimientoCredito =0,@SaldoFinal = 0,@Fecha ='20240630',@IdentificacionCliente = '901434038';</v>
      </c>
      <c r="AB404" t="s">
        <v>1085</v>
      </c>
    </row>
    <row r="405" spans="1:28" x14ac:dyDescent="0.25">
      <c r="A405" s="2" t="s">
        <v>28</v>
      </c>
      <c r="B405" s="2" t="s">
        <v>29</v>
      </c>
      <c r="C405" s="2" t="s">
        <v>445</v>
      </c>
      <c r="D405" s="2" t="s">
        <v>444</v>
      </c>
      <c r="E405" s="2" t="s">
        <v>95</v>
      </c>
      <c r="F405" s="2"/>
      <c r="G405" s="2" t="s">
        <v>96</v>
      </c>
      <c r="H405" s="3">
        <v>-166630</v>
      </c>
      <c r="I405" s="3">
        <v>0</v>
      </c>
      <c r="J405" s="3">
        <v>0</v>
      </c>
      <c r="K405" s="3">
        <v>-166630</v>
      </c>
      <c r="L405" t="s">
        <v>1071</v>
      </c>
      <c r="M405" t="s">
        <v>1072</v>
      </c>
      <c r="N405" t="s">
        <v>1073</v>
      </c>
      <c r="O405" t="s">
        <v>1074</v>
      </c>
      <c r="P405" t="s">
        <v>1075</v>
      </c>
      <c r="Q405" t="s">
        <v>1076</v>
      </c>
      <c r="R405" t="s">
        <v>1077</v>
      </c>
      <c r="S405" t="s">
        <v>1078</v>
      </c>
      <c r="T405" t="s">
        <v>1079</v>
      </c>
      <c r="U405" t="s">
        <v>1080</v>
      </c>
      <c r="V405" t="s">
        <v>1081</v>
      </c>
      <c r="W405" t="s">
        <v>1082</v>
      </c>
      <c r="X405">
        <v>20240630</v>
      </c>
      <c r="Y405" t="s">
        <v>1083</v>
      </c>
      <c r="Z405" t="s">
        <v>1084</v>
      </c>
      <c r="AA405" s="11" t="str">
        <f t="shared" si="6"/>
        <v>EXEC [dbo].[BalanceGeneralInsertar] @Nivel ='Auxiliar',@Transaccional ='Sí',@CodigoCuentaContable ='24080601', @NombreCuentaContable ='Iva generado',@Identificacion ='900362559',@Sucursal ='',@NombreTercero ='INSTITUTO DE CIRUGÍA PLÁSTICA RECONSTRUCTIVA Y SALUD ESTÉTICAVITALUM I.P.S S.A.S',@SaldoInicial = -166630,@MovimientoDebito = 0,@MovimientoCredito =0,@SaldoFinal = 0,@Fecha ='20240630',@IdentificacionCliente = '901434038';</v>
      </c>
      <c r="AB405" t="s">
        <v>1085</v>
      </c>
    </row>
    <row r="406" spans="1:28" x14ac:dyDescent="0.25">
      <c r="A406" s="2" t="s">
        <v>28</v>
      </c>
      <c r="B406" s="2" t="s">
        <v>29</v>
      </c>
      <c r="C406" s="2" t="s">
        <v>445</v>
      </c>
      <c r="D406" s="2" t="s">
        <v>444</v>
      </c>
      <c r="E406" s="2" t="s">
        <v>97</v>
      </c>
      <c r="F406" s="2"/>
      <c r="G406" s="2" t="s">
        <v>98</v>
      </c>
      <c r="H406" s="3" t="s">
        <v>953</v>
      </c>
      <c r="I406" s="3">
        <v>0</v>
      </c>
      <c r="J406" s="3">
        <v>0</v>
      </c>
      <c r="K406" s="3" t="s">
        <v>953</v>
      </c>
      <c r="L406" t="s">
        <v>1071</v>
      </c>
      <c r="M406" t="s">
        <v>1072</v>
      </c>
      <c r="N406" t="s">
        <v>1073</v>
      </c>
      <c r="O406" t="s">
        <v>1074</v>
      </c>
      <c r="P406" t="s">
        <v>1075</v>
      </c>
      <c r="Q406" t="s">
        <v>1076</v>
      </c>
      <c r="R406" t="s">
        <v>1077</v>
      </c>
      <c r="S406" t="s">
        <v>1078</v>
      </c>
      <c r="T406" t="s">
        <v>1079</v>
      </c>
      <c r="U406" t="s">
        <v>1080</v>
      </c>
      <c r="V406" t="s">
        <v>1081</v>
      </c>
      <c r="W406" t="s">
        <v>1082</v>
      </c>
      <c r="X406">
        <v>20240630</v>
      </c>
      <c r="Y406" t="s">
        <v>1083</v>
      </c>
      <c r="Z406" t="s">
        <v>1084</v>
      </c>
      <c r="AA406" s="11" t="str">
        <f t="shared" si="6"/>
        <v>EXEC [dbo].[BalanceGeneralInsertar] @Nivel ='Auxiliar',@Transaccional ='Sí',@CodigoCuentaContable ='24080601', @NombreCuentaContable ='Iva generado',@Identificacion ='32936199',@Sucursal ='',@NombreTercero ='ALEIDA MARIA GIRALDO CASTRO',@SaldoInicial = -1286381.89,@MovimientoDebito = 0,@MovimientoCredito =0,@SaldoFinal = 0,@Fecha ='20240630',@IdentificacionCliente = '901434038';</v>
      </c>
      <c r="AB406" t="s">
        <v>1085</v>
      </c>
    </row>
    <row r="407" spans="1:28" x14ac:dyDescent="0.25">
      <c r="A407" s="2" t="s">
        <v>28</v>
      </c>
      <c r="B407" s="2" t="s">
        <v>29</v>
      </c>
      <c r="C407" s="2" t="s">
        <v>445</v>
      </c>
      <c r="D407" s="2" t="s">
        <v>444</v>
      </c>
      <c r="E407" s="2" t="s">
        <v>77</v>
      </c>
      <c r="F407" s="2"/>
      <c r="G407" s="2" t="s">
        <v>78</v>
      </c>
      <c r="H407" s="3">
        <v>-760000</v>
      </c>
      <c r="I407" s="3">
        <v>0</v>
      </c>
      <c r="J407" s="3">
        <v>0</v>
      </c>
      <c r="K407" s="3">
        <v>-760000</v>
      </c>
      <c r="L407" t="s">
        <v>1071</v>
      </c>
      <c r="M407" t="s">
        <v>1072</v>
      </c>
      <c r="N407" t="s">
        <v>1073</v>
      </c>
      <c r="O407" t="s">
        <v>1074</v>
      </c>
      <c r="P407" t="s">
        <v>1075</v>
      </c>
      <c r="Q407" t="s">
        <v>1076</v>
      </c>
      <c r="R407" t="s">
        <v>1077</v>
      </c>
      <c r="S407" t="s">
        <v>1078</v>
      </c>
      <c r="T407" t="s">
        <v>1079</v>
      </c>
      <c r="U407" t="s">
        <v>1080</v>
      </c>
      <c r="V407" t="s">
        <v>1081</v>
      </c>
      <c r="W407" t="s">
        <v>1082</v>
      </c>
      <c r="X407">
        <v>20240630</v>
      </c>
      <c r="Y407" t="s">
        <v>1083</v>
      </c>
      <c r="Z407" t="s">
        <v>1084</v>
      </c>
      <c r="AA407" s="11" t="str">
        <f t="shared" si="6"/>
        <v>EXEC [dbo].[BalanceGeneralInsertar] @Nivel ='Auxiliar',@Transaccional ='Sí',@CodigoCuentaContable ='24080601', @NombreCuentaContable ='Iva generado',@Identificacion ='900161580',@Sucursal ='',@NombreTercero ='ORGANIZACION SANTAMARIA SAS',@SaldoInicial = -760000,@MovimientoDebito = 0,@MovimientoCredito =0,@SaldoFinal = 0,@Fecha ='20240630',@IdentificacionCliente = '901434038';</v>
      </c>
      <c r="AB407" t="s">
        <v>1085</v>
      </c>
    </row>
    <row r="408" spans="1:28" x14ac:dyDescent="0.25">
      <c r="A408" s="2" t="s">
        <v>28</v>
      </c>
      <c r="B408" s="2" t="s">
        <v>29</v>
      </c>
      <c r="C408" s="2" t="s">
        <v>445</v>
      </c>
      <c r="D408" s="2" t="s">
        <v>444</v>
      </c>
      <c r="E408" s="2" t="s">
        <v>139</v>
      </c>
      <c r="F408" s="2"/>
      <c r="G408" s="2" t="s">
        <v>140</v>
      </c>
      <c r="H408" s="3">
        <v>-27744750</v>
      </c>
      <c r="I408" s="3">
        <v>0</v>
      </c>
      <c r="J408" s="3">
        <v>1541375</v>
      </c>
      <c r="K408" s="3">
        <v>-29286125</v>
      </c>
      <c r="L408" t="s">
        <v>1071</v>
      </c>
      <c r="M408" t="s">
        <v>1072</v>
      </c>
      <c r="N408" t="s">
        <v>1073</v>
      </c>
      <c r="O408" t="s">
        <v>1074</v>
      </c>
      <c r="P408" t="s">
        <v>1075</v>
      </c>
      <c r="Q408" t="s">
        <v>1076</v>
      </c>
      <c r="R408" t="s">
        <v>1077</v>
      </c>
      <c r="S408" t="s">
        <v>1078</v>
      </c>
      <c r="T408" t="s">
        <v>1079</v>
      </c>
      <c r="U408" t="s">
        <v>1080</v>
      </c>
      <c r="V408" t="s">
        <v>1081</v>
      </c>
      <c r="W408" t="s">
        <v>1082</v>
      </c>
      <c r="X408">
        <v>20240630</v>
      </c>
      <c r="Y408" t="s">
        <v>1083</v>
      </c>
      <c r="Z408" t="s">
        <v>1084</v>
      </c>
      <c r="AA408" s="11" t="str">
        <f t="shared" si="6"/>
        <v>EXEC [dbo].[BalanceGeneralInsertar] @Nivel ='Auxiliar',@Transaccional ='Sí',@CodigoCuentaContable ='24080601', @NombreCuentaContable ='Iva generado',@Identificacion ='900347399',@Sucursal ='',@NombreTercero ='EXPORT HEALTH SAS',@SaldoInicial = -27744750,@MovimientoDebito = 0,@MovimientoCredito =1541375,@SaldoFinal = 1541375,@Fecha ='20240630',@IdentificacionCliente = '901434038';</v>
      </c>
      <c r="AB408" t="s">
        <v>1085</v>
      </c>
    </row>
    <row r="409" spans="1:28" x14ac:dyDescent="0.25">
      <c r="A409" s="2" t="s">
        <v>28</v>
      </c>
      <c r="B409" s="2" t="s">
        <v>29</v>
      </c>
      <c r="C409" s="2" t="s">
        <v>446</v>
      </c>
      <c r="D409" s="2" t="s">
        <v>447</v>
      </c>
      <c r="E409" s="2" t="s">
        <v>39</v>
      </c>
      <c r="F409" s="2"/>
      <c r="G409" s="2" t="s">
        <v>40</v>
      </c>
      <c r="H409" s="3" t="s">
        <v>954</v>
      </c>
      <c r="I409" s="3">
        <v>0</v>
      </c>
      <c r="J409" s="3">
        <v>0</v>
      </c>
      <c r="K409" s="3" t="s">
        <v>954</v>
      </c>
      <c r="L409" t="s">
        <v>1071</v>
      </c>
      <c r="M409" t="s">
        <v>1072</v>
      </c>
      <c r="N409" t="s">
        <v>1073</v>
      </c>
      <c r="O409" t="s">
        <v>1074</v>
      </c>
      <c r="P409" t="s">
        <v>1075</v>
      </c>
      <c r="Q409" t="s">
        <v>1076</v>
      </c>
      <c r="R409" t="s">
        <v>1077</v>
      </c>
      <c r="S409" t="s">
        <v>1078</v>
      </c>
      <c r="T409" t="s">
        <v>1079</v>
      </c>
      <c r="U409" t="s">
        <v>1080</v>
      </c>
      <c r="V409" t="s">
        <v>1081</v>
      </c>
      <c r="W409" t="s">
        <v>1082</v>
      </c>
      <c r="X409">
        <v>20240630</v>
      </c>
      <c r="Y409" t="s">
        <v>1083</v>
      </c>
      <c r="Z409" t="s">
        <v>1084</v>
      </c>
      <c r="AA409" s="11" t="str">
        <f t="shared" si="6"/>
        <v>EXEC [dbo].[BalanceGeneralInsertar] @Nivel ='Auxiliar',@Transaccional ='Sí',@CodigoCuentaContable ='24080603', @NombreCuentaContable ='Devolucion de Iva por ventas',@Identificacion ='800197268',@Sucursal ='',@NombreTercero ='DIAN',@SaldoInicial = -12118902.45,@MovimientoDebito = 0,@MovimientoCredito =0,@SaldoFinal = 0,@Fecha ='20240630',@IdentificacionCliente = '901434038';</v>
      </c>
      <c r="AB409" t="s">
        <v>1085</v>
      </c>
    </row>
    <row r="410" spans="1:28" x14ac:dyDescent="0.25">
      <c r="A410" s="2" t="s">
        <v>28</v>
      </c>
      <c r="B410" s="2" t="s">
        <v>29</v>
      </c>
      <c r="C410" s="2" t="s">
        <v>446</v>
      </c>
      <c r="D410" s="2" t="s">
        <v>447</v>
      </c>
      <c r="E410" s="2" t="s">
        <v>105</v>
      </c>
      <c r="F410" s="2"/>
      <c r="G410" s="2" t="s">
        <v>106</v>
      </c>
      <c r="H410" s="3" t="s">
        <v>955</v>
      </c>
      <c r="I410" s="3">
        <v>0</v>
      </c>
      <c r="J410" s="3">
        <v>0</v>
      </c>
      <c r="K410" s="3" t="s">
        <v>955</v>
      </c>
      <c r="L410" t="s">
        <v>1071</v>
      </c>
      <c r="M410" t="s">
        <v>1072</v>
      </c>
      <c r="N410" t="s">
        <v>1073</v>
      </c>
      <c r="O410" t="s">
        <v>1074</v>
      </c>
      <c r="P410" t="s">
        <v>1075</v>
      </c>
      <c r="Q410" t="s">
        <v>1076</v>
      </c>
      <c r="R410" t="s">
        <v>1077</v>
      </c>
      <c r="S410" t="s">
        <v>1078</v>
      </c>
      <c r="T410" t="s">
        <v>1079</v>
      </c>
      <c r="U410" t="s">
        <v>1080</v>
      </c>
      <c r="V410" t="s">
        <v>1081</v>
      </c>
      <c r="W410" t="s">
        <v>1082</v>
      </c>
      <c r="X410">
        <v>20240630</v>
      </c>
      <c r="Y410" t="s">
        <v>1083</v>
      </c>
      <c r="Z410" t="s">
        <v>1084</v>
      </c>
      <c r="AA410" s="11" t="str">
        <f t="shared" si="6"/>
        <v>EXEC [dbo].[BalanceGeneralInsertar] @Nivel ='Auxiliar',@Transaccional ='Sí',@CodigoCuentaContable ='24080603', @NombreCuentaContable ='Devolucion de Iva por ventas',@Identificacion ='901000155',@Sucursal ='',@NombreTercero ='DELUXE BY CRISTINA JARAMILLO S.A.S',@SaldoInicial = 144112.53,@MovimientoDebito = 0,@MovimientoCredito =0,@SaldoFinal = 0,@Fecha ='20240630',@IdentificacionCliente = '901434038';</v>
      </c>
      <c r="AB410" t="s">
        <v>1085</v>
      </c>
    </row>
    <row r="411" spans="1:28" x14ac:dyDescent="0.25">
      <c r="A411" s="2" t="s">
        <v>28</v>
      </c>
      <c r="B411" s="2" t="s">
        <v>29</v>
      </c>
      <c r="C411" s="2" t="s">
        <v>446</v>
      </c>
      <c r="D411" s="2" t="s">
        <v>447</v>
      </c>
      <c r="E411" s="2" t="s">
        <v>73</v>
      </c>
      <c r="F411" s="2"/>
      <c r="G411" s="2" t="s">
        <v>74</v>
      </c>
      <c r="H411" s="3" t="s">
        <v>956</v>
      </c>
      <c r="I411" s="3">
        <v>0</v>
      </c>
      <c r="J411" s="3">
        <v>0</v>
      </c>
      <c r="K411" s="3" t="s">
        <v>956</v>
      </c>
      <c r="L411" t="s">
        <v>1071</v>
      </c>
      <c r="M411" t="s">
        <v>1072</v>
      </c>
      <c r="N411" t="s">
        <v>1073</v>
      </c>
      <c r="O411" t="s">
        <v>1074</v>
      </c>
      <c r="P411" t="s">
        <v>1075</v>
      </c>
      <c r="Q411" t="s">
        <v>1076</v>
      </c>
      <c r="R411" t="s">
        <v>1077</v>
      </c>
      <c r="S411" t="s">
        <v>1078</v>
      </c>
      <c r="T411" t="s">
        <v>1079</v>
      </c>
      <c r="U411" t="s">
        <v>1080</v>
      </c>
      <c r="V411" t="s">
        <v>1081</v>
      </c>
      <c r="W411" t="s">
        <v>1082</v>
      </c>
      <c r="X411">
        <v>20240630</v>
      </c>
      <c r="Y411" t="s">
        <v>1083</v>
      </c>
      <c r="Z411" t="s">
        <v>1084</v>
      </c>
      <c r="AA411" s="11" t="str">
        <f t="shared" si="6"/>
        <v>EXEC [dbo].[BalanceGeneralInsertar] @Nivel ='Auxiliar',@Transaccional ='Sí',@CodigoCuentaContable ='24080603', @NombreCuentaContable ='Devolucion de Iva por ventas',@Identificacion ='901020041',@Sucursal ='',@NombreTercero ='BENESSERE S.A.S',@SaldoInicial = 11974789.92,@MovimientoDebito = 0,@MovimientoCredito =0,@SaldoFinal = 0,@Fecha ='20240630',@IdentificacionCliente = '901434038';</v>
      </c>
      <c r="AB411" t="s">
        <v>1085</v>
      </c>
    </row>
    <row r="412" spans="1:28" x14ac:dyDescent="0.25">
      <c r="A412" s="2" t="s">
        <v>25</v>
      </c>
      <c r="B412" s="2" t="s">
        <v>16</v>
      </c>
      <c r="C412" s="2" t="s">
        <v>448</v>
      </c>
      <c r="D412" s="2" t="s">
        <v>449</v>
      </c>
      <c r="E412" s="2"/>
      <c r="F412" s="2"/>
      <c r="G412" s="2"/>
      <c r="H412" s="3" t="s">
        <v>957</v>
      </c>
      <c r="I412" s="3">
        <v>929100</v>
      </c>
      <c r="J412" s="3">
        <v>929100</v>
      </c>
      <c r="K412" s="3" t="s">
        <v>957</v>
      </c>
      <c r="L412" t="s">
        <v>1071</v>
      </c>
      <c r="M412" t="s">
        <v>1072</v>
      </c>
      <c r="N412" t="s">
        <v>1073</v>
      </c>
      <c r="O412" t="s">
        <v>1074</v>
      </c>
      <c r="P412" t="s">
        <v>1075</v>
      </c>
      <c r="Q412" t="s">
        <v>1076</v>
      </c>
      <c r="R412" t="s">
        <v>1077</v>
      </c>
      <c r="S412" t="s">
        <v>1078</v>
      </c>
      <c r="T412" t="s">
        <v>1079</v>
      </c>
      <c r="U412" t="s">
        <v>1080</v>
      </c>
      <c r="V412" t="s">
        <v>1081</v>
      </c>
      <c r="W412" t="s">
        <v>1082</v>
      </c>
      <c r="X412">
        <v>20240630</v>
      </c>
      <c r="Y412" t="s">
        <v>1083</v>
      </c>
      <c r="Z412" t="s">
        <v>1084</v>
      </c>
      <c r="AA412" s="11" t="str">
        <f t="shared" si="6"/>
        <v>EXEC [dbo].[BalanceGeneralInsertar] @Nivel ='Subcuenta',@Transaccional ='No',@CodigoCuentaContable ='240810', @NombreCuentaContable ='Iva descontable por compras',@Identificacion ='',@Sucursal ='',@NombreTercero ='',@SaldoInicial = 0.4,@MovimientoDebito = 929100,@MovimientoCredito =929100,@SaldoFinal = 929100,@Fecha ='20240630',@IdentificacionCliente = '901434038';</v>
      </c>
      <c r="AB412" t="s">
        <v>1085</v>
      </c>
    </row>
    <row r="413" spans="1:28" x14ac:dyDescent="0.25">
      <c r="A413" s="2" t="s">
        <v>28</v>
      </c>
      <c r="B413" s="2" t="s">
        <v>29</v>
      </c>
      <c r="C413" s="2" t="s">
        <v>450</v>
      </c>
      <c r="D413" s="2" t="s">
        <v>451</v>
      </c>
      <c r="E413" s="2" t="s">
        <v>39</v>
      </c>
      <c r="F413" s="2"/>
      <c r="G413" s="2" t="s">
        <v>40</v>
      </c>
      <c r="H413" s="3" t="s">
        <v>958</v>
      </c>
      <c r="I413" s="3">
        <v>0</v>
      </c>
      <c r="J413" s="3">
        <v>929100</v>
      </c>
      <c r="K413" s="3" t="s">
        <v>959</v>
      </c>
      <c r="L413" t="s">
        <v>1071</v>
      </c>
      <c r="M413" t="s">
        <v>1072</v>
      </c>
      <c r="N413" t="s">
        <v>1073</v>
      </c>
      <c r="O413" t="s">
        <v>1074</v>
      </c>
      <c r="P413" t="s">
        <v>1075</v>
      </c>
      <c r="Q413" t="s">
        <v>1076</v>
      </c>
      <c r="R413" t="s">
        <v>1077</v>
      </c>
      <c r="S413" t="s">
        <v>1078</v>
      </c>
      <c r="T413" t="s">
        <v>1079</v>
      </c>
      <c r="U413" t="s">
        <v>1080</v>
      </c>
      <c r="V413" t="s">
        <v>1081</v>
      </c>
      <c r="W413" t="s">
        <v>1082</v>
      </c>
      <c r="X413">
        <v>20240630</v>
      </c>
      <c r="Y413" t="s">
        <v>1083</v>
      </c>
      <c r="Z413" t="s">
        <v>1084</v>
      </c>
      <c r="AA413" s="11" t="str">
        <f t="shared" si="6"/>
        <v>EXEC [dbo].[BalanceGeneralInsertar] @Nivel ='Auxiliar',@Transaccional ='Sí',@CodigoCuentaContable ='24081001', @NombreCuentaContable ='Iva descontable por compras 19%',@Identificacion ='800197268',@Sucursal ='',@NombreTercero ='DIAN',@SaldoInicial = -388962387.23,@MovimientoDebito = 0,@MovimientoCredito =929100,@SaldoFinal = 929100,@Fecha ='20240630',@IdentificacionCliente = '901434038';</v>
      </c>
      <c r="AB413" t="s">
        <v>1085</v>
      </c>
    </row>
    <row r="414" spans="1:28" x14ac:dyDescent="0.25">
      <c r="A414" s="2" t="s">
        <v>28</v>
      </c>
      <c r="B414" s="2" t="s">
        <v>29</v>
      </c>
      <c r="C414" s="2" t="s">
        <v>450</v>
      </c>
      <c r="D414" s="2" t="s">
        <v>451</v>
      </c>
      <c r="E414" s="2" t="s">
        <v>99</v>
      </c>
      <c r="F414" s="2"/>
      <c r="G414" s="2" t="s">
        <v>100</v>
      </c>
      <c r="H414" s="3" t="s">
        <v>960</v>
      </c>
      <c r="I414" s="3">
        <v>929100</v>
      </c>
      <c r="J414" s="3">
        <v>0</v>
      </c>
      <c r="K414" s="3" t="s">
        <v>961</v>
      </c>
      <c r="L414" t="s">
        <v>1071</v>
      </c>
      <c r="M414" t="s">
        <v>1072</v>
      </c>
      <c r="N414" t="s">
        <v>1073</v>
      </c>
      <c r="O414" t="s">
        <v>1074</v>
      </c>
      <c r="P414" t="s">
        <v>1075</v>
      </c>
      <c r="Q414" t="s">
        <v>1076</v>
      </c>
      <c r="R414" t="s">
        <v>1077</v>
      </c>
      <c r="S414" t="s">
        <v>1078</v>
      </c>
      <c r="T414" t="s">
        <v>1079</v>
      </c>
      <c r="U414" t="s">
        <v>1080</v>
      </c>
      <c r="V414" t="s">
        <v>1081</v>
      </c>
      <c r="W414" t="s">
        <v>1082</v>
      </c>
      <c r="X414">
        <v>20240630</v>
      </c>
      <c r="Y414" t="s">
        <v>1083</v>
      </c>
      <c r="Z414" t="s">
        <v>1084</v>
      </c>
      <c r="AA414" s="11" t="str">
        <f t="shared" si="6"/>
        <v>EXEC [dbo].[BalanceGeneralInsertar] @Nivel ='Auxiliar',@Transaccional ='Sí',@CodigoCuentaContable ='24081001', @NombreCuentaContable ='Iva descontable por compras 19%',@Identificacion ='900397663',@Sucursal ='',@NombreTercero ='BTL COLOMBIA SAS',@SaldoInicial = 330453531.72,@MovimientoDebito = 929100,@MovimientoCredito =0,@SaldoFinal = 0,@Fecha ='20240630',@IdentificacionCliente = '901434038';</v>
      </c>
      <c r="AB414" t="s">
        <v>1085</v>
      </c>
    </row>
    <row r="415" spans="1:28" x14ac:dyDescent="0.25">
      <c r="A415" s="2" t="s">
        <v>28</v>
      </c>
      <c r="B415" s="2" t="s">
        <v>29</v>
      </c>
      <c r="C415" s="2" t="s">
        <v>450</v>
      </c>
      <c r="D415" s="2" t="s">
        <v>451</v>
      </c>
      <c r="E415" s="2" t="s">
        <v>103</v>
      </c>
      <c r="F415" s="2"/>
      <c r="G415" s="2" t="s">
        <v>104</v>
      </c>
      <c r="H415" s="3">
        <v>21246458</v>
      </c>
      <c r="I415" s="3">
        <v>0</v>
      </c>
      <c r="J415" s="3">
        <v>0</v>
      </c>
      <c r="K415" s="3">
        <v>21246458</v>
      </c>
      <c r="L415" t="s">
        <v>1071</v>
      </c>
      <c r="M415" t="s">
        <v>1072</v>
      </c>
      <c r="N415" t="s">
        <v>1073</v>
      </c>
      <c r="O415" t="s">
        <v>1074</v>
      </c>
      <c r="P415" t="s">
        <v>1075</v>
      </c>
      <c r="Q415" t="s">
        <v>1076</v>
      </c>
      <c r="R415" t="s">
        <v>1077</v>
      </c>
      <c r="S415" t="s">
        <v>1078</v>
      </c>
      <c r="T415" t="s">
        <v>1079</v>
      </c>
      <c r="U415" t="s">
        <v>1080</v>
      </c>
      <c r="V415" t="s">
        <v>1081</v>
      </c>
      <c r="W415" t="s">
        <v>1082</v>
      </c>
      <c r="X415">
        <v>20240630</v>
      </c>
      <c r="Y415" t="s">
        <v>1083</v>
      </c>
      <c r="Z415" t="s">
        <v>1084</v>
      </c>
      <c r="AA415" s="11" t="str">
        <f t="shared" si="6"/>
        <v>EXEC [dbo].[BalanceGeneralInsertar] @Nivel ='Auxiliar',@Transaccional ='Sí',@CodigoCuentaContable ='24081001', @NombreCuentaContable ='Iva descontable por compras 19%',@Identificacion ='900297847',@Sucursal ='',@NombreTercero ='CENTRO CONTRA EFECTOS DE LA EDAD S.A.S',@SaldoInicial = 21246458,@MovimientoDebito = 0,@MovimientoCredito =0,@SaldoFinal = 0,@Fecha ='20240630',@IdentificacionCliente = '901434038';</v>
      </c>
      <c r="AB415" t="s">
        <v>1085</v>
      </c>
    </row>
    <row r="416" spans="1:28" x14ac:dyDescent="0.25">
      <c r="A416" s="2" t="s">
        <v>28</v>
      </c>
      <c r="B416" s="2" t="s">
        <v>29</v>
      </c>
      <c r="C416" s="2" t="s">
        <v>450</v>
      </c>
      <c r="D416" s="2" t="s">
        <v>451</v>
      </c>
      <c r="E416" s="2" t="s">
        <v>83</v>
      </c>
      <c r="F416" s="2"/>
      <c r="G416" s="2" t="s">
        <v>84</v>
      </c>
      <c r="H416" s="3" t="s">
        <v>962</v>
      </c>
      <c r="I416" s="3">
        <v>0</v>
      </c>
      <c r="J416" s="3">
        <v>0</v>
      </c>
      <c r="K416" s="3" t="s">
        <v>962</v>
      </c>
      <c r="L416" t="s">
        <v>1071</v>
      </c>
      <c r="M416" t="s">
        <v>1072</v>
      </c>
      <c r="N416" t="s">
        <v>1073</v>
      </c>
      <c r="O416" t="s">
        <v>1074</v>
      </c>
      <c r="P416" t="s">
        <v>1075</v>
      </c>
      <c r="Q416" t="s">
        <v>1076</v>
      </c>
      <c r="R416" t="s">
        <v>1077</v>
      </c>
      <c r="S416" t="s">
        <v>1078</v>
      </c>
      <c r="T416" t="s">
        <v>1079</v>
      </c>
      <c r="U416" t="s">
        <v>1080</v>
      </c>
      <c r="V416" t="s">
        <v>1081</v>
      </c>
      <c r="W416" t="s">
        <v>1082</v>
      </c>
      <c r="X416">
        <v>20240630</v>
      </c>
      <c r="Y416" t="s">
        <v>1083</v>
      </c>
      <c r="Z416" t="s">
        <v>1084</v>
      </c>
      <c r="AA416" s="11" t="str">
        <f t="shared" si="6"/>
        <v>EXEC [dbo].[BalanceGeneralInsertar] @Nivel ='Auxiliar',@Transaccional ='Sí',@CodigoCuentaContable ='24081001', @NombreCuentaContable ='Iva descontable por compras 19%',@Identificacion ='830081040',@Sucursal ='',@NombreTercero ='INSTITUTO DE ESTETICA MEDICA DE COLOMBIA LTDA.',@SaldoInicial = -4021089.8,@MovimientoDebito = 0,@MovimientoCredito =0,@SaldoFinal = 0,@Fecha ='20240630',@IdentificacionCliente = '901434038';</v>
      </c>
      <c r="AB416" t="s">
        <v>1085</v>
      </c>
    </row>
    <row r="417" spans="1:28" x14ac:dyDescent="0.25">
      <c r="A417" s="2" t="s">
        <v>28</v>
      </c>
      <c r="B417" s="2" t="s">
        <v>29</v>
      </c>
      <c r="C417" s="2" t="s">
        <v>450</v>
      </c>
      <c r="D417" s="2" t="s">
        <v>451</v>
      </c>
      <c r="E417" s="2" t="s">
        <v>69</v>
      </c>
      <c r="F417" s="2"/>
      <c r="G417" s="2" t="s">
        <v>70</v>
      </c>
      <c r="H417" s="3" t="s">
        <v>963</v>
      </c>
      <c r="I417" s="3">
        <v>0</v>
      </c>
      <c r="J417" s="3">
        <v>0</v>
      </c>
      <c r="K417" s="3" t="s">
        <v>963</v>
      </c>
      <c r="L417" t="s">
        <v>1071</v>
      </c>
      <c r="M417" t="s">
        <v>1072</v>
      </c>
      <c r="N417" t="s">
        <v>1073</v>
      </c>
      <c r="O417" t="s">
        <v>1074</v>
      </c>
      <c r="P417" t="s">
        <v>1075</v>
      </c>
      <c r="Q417" t="s">
        <v>1076</v>
      </c>
      <c r="R417" t="s">
        <v>1077</v>
      </c>
      <c r="S417" t="s">
        <v>1078</v>
      </c>
      <c r="T417" t="s">
        <v>1079</v>
      </c>
      <c r="U417" t="s">
        <v>1080</v>
      </c>
      <c r="V417" t="s">
        <v>1081</v>
      </c>
      <c r="W417" t="s">
        <v>1082</v>
      </c>
      <c r="X417">
        <v>20240630</v>
      </c>
      <c r="Y417" t="s">
        <v>1083</v>
      </c>
      <c r="Z417" t="s">
        <v>1084</v>
      </c>
      <c r="AA417" s="11" t="str">
        <f t="shared" si="6"/>
        <v>EXEC [dbo].[BalanceGeneralInsertar] @Nivel ='Auxiliar',@Transaccional ='Sí',@CodigoCuentaContable ='24081001', @NombreCuentaContable ='Iva descontable por compras 19%',@Identificacion ='900379427',@Sucursal ='',@NombreTercero ='INVERSIONES LAC SAS',@SaldoInicial = 34247899.71,@MovimientoDebito = 0,@MovimientoCredito =0,@SaldoFinal = 0,@Fecha ='20240630',@IdentificacionCliente = '901434038';</v>
      </c>
      <c r="AB417" t="s">
        <v>1085</v>
      </c>
    </row>
    <row r="418" spans="1:28" x14ac:dyDescent="0.25">
      <c r="A418" s="2" t="s">
        <v>28</v>
      </c>
      <c r="B418" s="2" t="s">
        <v>29</v>
      </c>
      <c r="C418" s="2" t="s">
        <v>450</v>
      </c>
      <c r="D418" s="2" t="s">
        <v>451</v>
      </c>
      <c r="E418" s="2" t="s">
        <v>59</v>
      </c>
      <c r="F418" s="2"/>
      <c r="G418" s="2" t="s">
        <v>60</v>
      </c>
      <c r="H418" s="3">
        <v>19000</v>
      </c>
      <c r="I418" s="3">
        <v>0</v>
      </c>
      <c r="J418" s="3">
        <v>0</v>
      </c>
      <c r="K418" s="3">
        <v>19000</v>
      </c>
      <c r="L418" t="s">
        <v>1071</v>
      </c>
      <c r="M418" t="s">
        <v>1072</v>
      </c>
      <c r="N418" t="s">
        <v>1073</v>
      </c>
      <c r="O418" t="s">
        <v>1074</v>
      </c>
      <c r="P418" t="s">
        <v>1075</v>
      </c>
      <c r="Q418" t="s">
        <v>1076</v>
      </c>
      <c r="R418" t="s">
        <v>1077</v>
      </c>
      <c r="S418" t="s">
        <v>1078</v>
      </c>
      <c r="T418" t="s">
        <v>1079</v>
      </c>
      <c r="U418" t="s">
        <v>1080</v>
      </c>
      <c r="V418" t="s">
        <v>1081</v>
      </c>
      <c r="W418" t="s">
        <v>1082</v>
      </c>
      <c r="X418">
        <v>20240630</v>
      </c>
      <c r="Y418" t="s">
        <v>1083</v>
      </c>
      <c r="Z418" t="s">
        <v>1084</v>
      </c>
      <c r="AA418" s="11" t="str">
        <f t="shared" si="6"/>
        <v>EXEC [dbo].[BalanceGeneralInsertar] @Nivel ='Auxiliar',@Transaccional ='Sí',@CodigoCuentaContable ='24081001', @NombreCuentaContable ='Iva descontable por compras 19%',@Identificacion ='900626859',@Sucursal ='',@NombreTercero ='DISTRISERVICIOS GRAFICOS S.A.S.',@SaldoInicial = 19000,@MovimientoDebito = 0,@MovimientoCredito =0,@SaldoFinal = 0,@Fecha ='20240630',@IdentificacionCliente = '901434038';</v>
      </c>
      <c r="AB418" t="s">
        <v>1085</v>
      </c>
    </row>
    <row r="419" spans="1:28" x14ac:dyDescent="0.25">
      <c r="A419" s="2" t="s">
        <v>28</v>
      </c>
      <c r="B419" s="2" t="s">
        <v>29</v>
      </c>
      <c r="C419" s="2" t="s">
        <v>450</v>
      </c>
      <c r="D419" s="2" t="s">
        <v>451</v>
      </c>
      <c r="E419" s="2" t="s">
        <v>135</v>
      </c>
      <c r="F419" s="2"/>
      <c r="G419" s="2" t="s">
        <v>136</v>
      </c>
      <c r="H419" s="3">
        <v>7016588</v>
      </c>
      <c r="I419" s="3">
        <v>0</v>
      </c>
      <c r="J419" s="3">
        <v>0</v>
      </c>
      <c r="K419" s="3">
        <v>7016588</v>
      </c>
      <c r="L419" t="s">
        <v>1071</v>
      </c>
      <c r="M419" t="s">
        <v>1072</v>
      </c>
      <c r="N419" t="s">
        <v>1073</v>
      </c>
      <c r="O419" t="s">
        <v>1074</v>
      </c>
      <c r="P419" t="s">
        <v>1075</v>
      </c>
      <c r="Q419" t="s">
        <v>1076</v>
      </c>
      <c r="R419" t="s">
        <v>1077</v>
      </c>
      <c r="S419" t="s">
        <v>1078</v>
      </c>
      <c r="T419" t="s">
        <v>1079</v>
      </c>
      <c r="U419" t="s">
        <v>1080</v>
      </c>
      <c r="V419" t="s">
        <v>1081</v>
      </c>
      <c r="W419" t="s">
        <v>1082</v>
      </c>
      <c r="X419">
        <v>20240630</v>
      </c>
      <c r="Y419" t="s">
        <v>1083</v>
      </c>
      <c r="Z419" t="s">
        <v>1084</v>
      </c>
      <c r="AA419" s="11" t="str">
        <f t="shared" si="6"/>
        <v>EXEC [dbo].[BalanceGeneralInsertar] @Nivel ='Auxiliar',@Transaccional ='Sí',@CodigoCuentaContable ='24081001', @NombreCuentaContable ='Iva descontable por compras 19%',@Identificacion ='900222911',@Sucursal ='',@NombreTercero ='INSTRUMENTOS MÉDICOS DE COLOMBIA S.A.S',@SaldoInicial = 7016588,@MovimientoDebito = 0,@MovimientoCredito =0,@SaldoFinal = 0,@Fecha ='20240630',@IdentificacionCliente = '901434038';</v>
      </c>
      <c r="AB419" t="s">
        <v>1085</v>
      </c>
    </row>
    <row r="420" spans="1:28" x14ac:dyDescent="0.25">
      <c r="A420" s="2" t="s">
        <v>28</v>
      </c>
      <c r="B420" s="2" t="s">
        <v>29</v>
      </c>
      <c r="C420" s="2" t="s">
        <v>452</v>
      </c>
      <c r="D420" s="2" t="s">
        <v>453</v>
      </c>
      <c r="E420" s="2" t="s">
        <v>39</v>
      </c>
      <c r="F420" s="2"/>
      <c r="G420" s="2" t="s">
        <v>40</v>
      </c>
      <c r="H420" s="3">
        <v>28104800</v>
      </c>
      <c r="I420" s="3">
        <v>0</v>
      </c>
      <c r="J420" s="3">
        <v>0</v>
      </c>
      <c r="K420" s="3">
        <v>28104800</v>
      </c>
      <c r="L420" t="s">
        <v>1071</v>
      </c>
      <c r="M420" t="s">
        <v>1072</v>
      </c>
      <c r="N420" t="s">
        <v>1073</v>
      </c>
      <c r="O420" t="s">
        <v>1074</v>
      </c>
      <c r="P420" t="s">
        <v>1075</v>
      </c>
      <c r="Q420" t="s">
        <v>1076</v>
      </c>
      <c r="R420" t="s">
        <v>1077</v>
      </c>
      <c r="S420" t="s">
        <v>1078</v>
      </c>
      <c r="T420" t="s">
        <v>1079</v>
      </c>
      <c r="U420" t="s">
        <v>1080</v>
      </c>
      <c r="V420" t="s">
        <v>1081</v>
      </c>
      <c r="W420" t="s">
        <v>1082</v>
      </c>
      <c r="X420">
        <v>20240630</v>
      </c>
      <c r="Y420" t="s">
        <v>1083</v>
      </c>
      <c r="Z420" t="s">
        <v>1084</v>
      </c>
      <c r="AA420" s="11" t="str">
        <f t="shared" si="6"/>
        <v>EXEC [dbo].[BalanceGeneralInsertar] @Nivel ='Auxiliar',@Transaccional ='Sí',@CodigoCuentaContable ='24081002', @NombreCuentaContable ='Iva Devolución en compras 19%',@Identificacion ='800197268',@Sucursal ='',@NombreTercero ='DIAN',@SaldoInicial = 28104800,@MovimientoDebito = 0,@MovimientoCredito =0,@SaldoFinal = 0,@Fecha ='20240630',@IdentificacionCliente = '901434038';</v>
      </c>
      <c r="AB420" t="s">
        <v>1085</v>
      </c>
    </row>
    <row r="421" spans="1:28" x14ac:dyDescent="0.25">
      <c r="A421" s="2" t="s">
        <v>28</v>
      </c>
      <c r="B421" s="2" t="s">
        <v>29</v>
      </c>
      <c r="C421" s="2" t="s">
        <v>452</v>
      </c>
      <c r="D421" s="2" t="s">
        <v>453</v>
      </c>
      <c r="E421" s="2" t="s">
        <v>99</v>
      </c>
      <c r="F421" s="2"/>
      <c r="G421" s="2" t="s">
        <v>100</v>
      </c>
      <c r="H421" s="3">
        <v>-28104800</v>
      </c>
      <c r="I421" s="3">
        <v>0</v>
      </c>
      <c r="J421" s="3">
        <v>0</v>
      </c>
      <c r="K421" s="3">
        <v>-28104800</v>
      </c>
      <c r="L421" t="s">
        <v>1071</v>
      </c>
      <c r="M421" t="s">
        <v>1072</v>
      </c>
      <c r="N421" t="s">
        <v>1073</v>
      </c>
      <c r="O421" t="s">
        <v>1074</v>
      </c>
      <c r="P421" t="s">
        <v>1075</v>
      </c>
      <c r="Q421" t="s">
        <v>1076</v>
      </c>
      <c r="R421" t="s">
        <v>1077</v>
      </c>
      <c r="S421" t="s">
        <v>1078</v>
      </c>
      <c r="T421" t="s">
        <v>1079</v>
      </c>
      <c r="U421" t="s">
        <v>1080</v>
      </c>
      <c r="V421" t="s">
        <v>1081</v>
      </c>
      <c r="W421" t="s">
        <v>1082</v>
      </c>
      <c r="X421">
        <v>20240630</v>
      </c>
      <c r="Y421" t="s">
        <v>1083</v>
      </c>
      <c r="Z421" t="s">
        <v>1084</v>
      </c>
      <c r="AA421" s="11" t="str">
        <f t="shared" si="6"/>
        <v>EXEC [dbo].[BalanceGeneralInsertar] @Nivel ='Auxiliar',@Transaccional ='Sí',@CodigoCuentaContable ='24081002', @NombreCuentaContable ='Iva Devolución en compras 19%',@Identificacion ='900397663',@Sucursal ='',@NombreTercero ='BTL COLOMBIA SAS',@SaldoInicial = -28104800,@MovimientoDebito = 0,@MovimientoCredito =0,@SaldoFinal = 0,@Fecha ='20240630',@IdentificacionCliente = '901434038';</v>
      </c>
      <c r="AB421" t="s">
        <v>1085</v>
      </c>
    </row>
    <row r="422" spans="1:28" x14ac:dyDescent="0.25">
      <c r="A422" s="2" t="s">
        <v>25</v>
      </c>
      <c r="B422" s="2" t="s">
        <v>16</v>
      </c>
      <c r="C422" s="2" t="s">
        <v>454</v>
      </c>
      <c r="D422" s="2" t="s">
        <v>455</v>
      </c>
      <c r="E422" s="2"/>
      <c r="F422" s="2"/>
      <c r="G422" s="2"/>
      <c r="H422" s="3">
        <v>667127</v>
      </c>
      <c r="I422" s="3" t="s">
        <v>964</v>
      </c>
      <c r="J422" s="3" t="s">
        <v>965</v>
      </c>
      <c r="K422" s="3">
        <v>-419900</v>
      </c>
      <c r="L422" t="s">
        <v>1071</v>
      </c>
      <c r="M422" t="s">
        <v>1072</v>
      </c>
      <c r="N422" t="s">
        <v>1073</v>
      </c>
      <c r="O422" t="s">
        <v>1074</v>
      </c>
      <c r="P422" t="s">
        <v>1075</v>
      </c>
      <c r="Q422" t="s">
        <v>1076</v>
      </c>
      <c r="R422" t="s">
        <v>1077</v>
      </c>
      <c r="S422" t="s">
        <v>1078</v>
      </c>
      <c r="T422" t="s">
        <v>1079</v>
      </c>
      <c r="U422" t="s">
        <v>1080</v>
      </c>
      <c r="V422" t="s">
        <v>1081</v>
      </c>
      <c r="W422" t="s">
        <v>1082</v>
      </c>
      <c r="X422">
        <v>20240630</v>
      </c>
      <c r="Y422" t="s">
        <v>1083</v>
      </c>
      <c r="Z422" t="s">
        <v>1084</v>
      </c>
      <c r="AA422" s="11" t="str">
        <f t="shared" si="6"/>
        <v>EXEC [dbo].[BalanceGeneralInsertar] @Nivel ='Subcuenta',@Transaccional ='No',@CodigoCuentaContable ='240815', @NombreCuentaContable ='Descontable por servicios',@Identificacion ='',@Sucursal ='',@NombreTercero ='',@SaldoInicial = 667127,@MovimientoDebito = 2843685.12,@MovimientoCredito =3930712.12,@SaldoFinal = 3930712.12,@Fecha ='20240630',@IdentificacionCliente = '901434038';</v>
      </c>
      <c r="AB422" t="s">
        <v>1085</v>
      </c>
    </row>
    <row r="423" spans="1:28" x14ac:dyDescent="0.25">
      <c r="A423" s="2" t="s">
        <v>28</v>
      </c>
      <c r="B423" s="2" t="s">
        <v>29</v>
      </c>
      <c r="C423" s="2" t="s">
        <v>456</v>
      </c>
      <c r="D423" s="2" t="s">
        <v>455</v>
      </c>
      <c r="E423" s="2" t="s">
        <v>35</v>
      </c>
      <c r="F423" s="2"/>
      <c r="G423" s="2" t="s">
        <v>36</v>
      </c>
      <c r="H423" s="3" t="s">
        <v>966</v>
      </c>
      <c r="I423" s="3" t="s">
        <v>967</v>
      </c>
      <c r="J423" s="3">
        <v>0</v>
      </c>
      <c r="K423" s="3" t="s">
        <v>968</v>
      </c>
      <c r="L423" t="s">
        <v>1071</v>
      </c>
      <c r="M423" t="s">
        <v>1072</v>
      </c>
      <c r="N423" t="s">
        <v>1073</v>
      </c>
      <c r="O423" t="s">
        <v>1074</v>
      </c>
      <c r="P423" t="s">
        <v>1075</v>
      </c>
      <c r="Q423" t="s">
        <v>1076</v>
      </c>
      <c r="R423" t="s">
        <v>1077</v>
      </c>
      <c r="S423" t="s">
        <v>1078</v>
      </c>
      <c r="T423" t="s">
        <v>1079</v>
      </c>
      <c r="U423" t="s">
        <v>1080</v>
      </c>
      <c r="V423" t="s">
        <v>1081</v>
      </c>
      <c r="W423" t="s">
        <v>1082</v>
      </c>
      <c r="X423">
        <v>20240630</v>
      </c>
      <c r="Y423" t="s">
        <v>1083</v>
      </c>
      <c r="Z423" t="s">
        <v>1084</v>
      </c>
      <c r="AA423" s="11" t="str">
        <f t="shared" si="6"/>
        <v>EXEC [dbo].[BalanceGeneralInsertar] @Nivel ='Auxiliar',@Transaccional ='Sí',@CodigoCuentaContable ='24081501', @NombreCuentaContable ='Descontable por servicios',@Identificacion ='890903938',@Sucursal ='',@NombreTercero ='Bancolombia',@SaldoInicial = 549517.67,@MovimientoDebito = 15234.2,@MovimientoCredito =0,@SaldoFinal = 0,@Fecha ='20240630',@IdentificacionCliente = '901434038';</v>
      </c>
      <c r="AB423" t="s">
        <v>1085</v>
      </c>
    </row>
    <row r="424" spans="1:28" x14ac:dyDescent="0.25">
      <c r="A424" s="2" t="s">
        <v>28</v>
      </c>
      <c r="B424" s="2" t="s">
        <v>29</v>
      </c>
      <c r="C424" s="2" t="s">
        <v>456</v>
      </c>
      <c r="D424" s="2" t="s">
        <v>455</v>
      </c>
      <c r="E424" s="2" t="s">
        <v>125</v>
      </c>
      <c r="F424" s="2"/>
      <c r="G424" s="2" t="s">
        <v>126</v>
      </c>
      <c r="H424" s="3" t="s">
        <v>969</v>
      </c>
      <c r="I424" s="3">
        <v>0</v>
      </c>
      <c r="J424" s="3">
        <v>0</v>
      </c>
      <c r="K424" s="3" t="s">
        <v>969</v>
      </c>
      <c r="L424" t="s">
        <v>1071</v>
      </c>
      <c r="M424" t="s">
        <v>1072</v>
      </c>
      <c r="N424" t="s">
        <v>1073</v>
      </c>
      <c r="O424" t="s">
        <v>1074</v>
      </c>
      <c r="P424" t="s">
        <v>1075</v>
      </c>
      <c r="Q424" t="s">
        <v>1076</v>
      </c>
      <c r="R424" t="s">
        <v>1077</v>
      </c>
      <c r="S424" t="s">
        <v>1078</v>
      </c>
      <c r="T424" t="s">
        <v>1079</v>
      </c>
      <c r="U424" t="s">
        <v>1080</v>
      </c>
      <c r="V424" t="s">
        <v>1081</v>
      </c>
      <c r="W424" t="s">
        <v>1082</v>
      </c>
      <c r="X424">
        <v>20240630</v>
      </c>
      <c r="Y424" t="s">
        <v>1083</v>
      </c>
      <c r="Z424" t="s">
        <v>1084</v>
      </c>
      <c r="AA424" s="11" t="str">
        <f t="shared" si="6"/>
        <v>EXEC [dbo].[BalanceGeneralInsertar] @Nivel ='Auxiliar',@Transaccional ='Sí',@CodigoCuentaContable ='24081501', @NombreCuentaContable ='Descontable por servicios',@Identificacion ='860003020',@Sucursal ='',@NombreTercero ='BBVA',@SaldoInicial = 1217.5,@MovimientoDebito = 0,@MovimientoCredito =0,@SaldoFinal = 0,@Fecha ='20240630',@IdentificacionCliente = '901434038';</v>
      </c>
      <c r="AB424" t="s">
        <v>1085</v>
      </c>
    </row>
    <row r="425" spans="1:28" x14ac:dyDescent="0.25">
      <c r="A425" s="2" t="s">
        <v>28</v>
      </c>
      <c r="B425" s="2" t="s">
        <v>29</v>
      </c>
      <c r="C425" s="2" t="s">
        <v>456</v>
      </c>
      <c r="D425" s="2" t="s">
        <v>455</v>
      </c>
      <c r="E425" s="2" t="s">
        <v>39</v>
      </c>
      <c r="F425" s="2"/>
      <c r="G425" s="2" t="s">
        <v>40</v>
      </c>
      <c r="H425" s="3" t="s">
        <v>970</v>
      </c>
      <c r="I425" s="3">
        <v>0</v>
      </c>
      <c r="J425" s="3" t="s">
        <v>971</v>
      </c>
      <c r="K425" s="3" t="s">
        <v>972</v>
      </c>
      <c r="L425" t="s">
        <v>1071</v>
      </c>
      <c r="M425" t="s">
        <v>1072</v>
      </c>
      <c r="N425" t="s">
        <v>1073</v>
      </c>
      <c r="O425" t="s">
        <v>1074</v>
      </c>
      <c r="P425" t="s">
        <v>1075</v>
      </c>
      <c r="Q425" t="s">
        <v>1076</v>
      </c>
      <c r="R425" t="s">
        <v>1077</v>
      </c>
      <c r="S425" t="s">
        <v>1078</v>
      </c>
      <c r="T425" t="s">
        <v>1079</v>
      </c>
      <c r="U425" t="s">
        <v>1080</v>
      </c>
      <c r="V425" t="s">
        <v>1081</v>
      </c>
      <c r="W425" t="s">
        <v>1082</v>
      </c>
      <c r="X425">
        <v>20240630</v>
      </c>
      <c r="Y425" t="s">
        <v>1083</v>
      </c>
      <c r="Z425" t="s">
        <v>1084</v>
      </c>
      <c r="AA425" s="11" t="str">
        <f t="shared" si="6"/>
        <v>EXEC [dbo].[BalanceGeneralInsertar] @Nivel ='Auxiliar',@Transaccional ='Sí',@CodigoCuentaContable ='24081501', @NombreCuentaContable ='Descontable por servicios',@Identificacion ='800197268',@Sucursal ='',@NombreTercero ='DIAN',@SaldoInicial = -17971488.47,@MovimientoDebito = 0,@MovimientoCredito =1834812.12,@SaldoFinal = 1834812.12,@Fecha ='20240630',@IdentificacionCliente = '901434038';</v>
      </c>
      <c r="AB425" t="s">
        <v>1085</v>
      </c>
    </row>
    <row r="426" spans="1:28" x14ac:dyDescent="0.25">
      <c r="A426" s="2" t="s">
        <v>28</v>
      </c>
      <c r="B426" s="2" t="s">
        <v>29</v>
      </c>
      <c r="C426" s="2" t="s">
        <v>456</v>
      </c>
      <c r="D426" s="2" t="s">
        <v>455</v>
      </c>
      <c r="E426" s="2" t="s">
        <v>113</v>
      </c>
      <c r="F426" s="2"/>
      <c r="G426" s="2" t="s">
        <v>114</v>
      </c>
      <c r="H426" s="3">
        <v>6384000</v>
      </c>
      <c r="I426" s="3">
        <v>228000</v>
      </c>
      <c r="J426" s="3">
        <v>0</v>
      </c>
      <c r="K426" s="3">
        <v>6612000</v>
      </c>
      <c r="L426" t="s">
        <v>1071</v>
      </c>
      <c r="M426" t="s">
        <v>1072</v>
      </c>
      <c r="N426" t="s">
        <v>1073</v>
      </c>
      <c r="O426" t="s">
        <v>1074</v>
      </c>
      <c r="P426" t="s">
        <v>1075</v>
      </c>
      <c r="Q426" t="s">
        <v>1076</v>
      </c>
      <c r="R426" t="s">
        <v>1077</v>
      </c>
      <c r="S426" t="s">
        <v>1078</v>
      </c>
      <c r="T426" t="s">
        <v>1079</v>
      </c>
      <c r="U426" t="s">
        <v>1080</v>
      </c>
      <c r="V426" t="s">
        <v>1081</v>
      </c>
      <c r="W426" t="s">
        <v>1082</v>
      </c>
      <c r="X426">
        <v>20240630</v>
      </c>
      <c r="Y426" t="s">
        <v>1083</v>
      </c>
      <c r="Z426" t="s">
        <v>1084</v>
      </c>
      <c r="AA426" s="11" t="str">
        <f t="shared" si="6"/>
        <v>EXEC [dbo].[BalanceGeneralInsertar] @Nivel ='Auxiliar',@Transaccional ='Sí',@CodigoCuentaContable ='24081501', @NombreCuentaContable ='Descontable por servicios',@Identificacion ='901398776',@Sucursal ='',@NombreTercero ='SERVICIOS FINANCIEROS OPERATIVOS FINANCIEROS SAS',@SaldoInicial = 6384000,@MovimientoDebito = 228000,@MovimientoCredito =0,@SaldoFinal = 0,@Fecha ='20240630',@IdentificacionCliente = '901434038';</v>
      </c>
      <c r="AB426" t="s">
        <v>1085</v>
      </c>
    </row>
    <row r="427" spans="1:28" x14ac:dyDescent="0.25">
      <c r="A427" s="2" t="s">
        <v>28</v>
      </c>
      <c r="B427" s="2" t="s">
        <v>29</v>
      </c>
      <c r="C427" s="2" t="s">
        <v>456</v>
      </c>
      <c r="D427" s="2" t="s">
        <v>455</v>
      </c>
      <c r="E427" s="2" t="s">
        <v>117</v>
      </c>
      <c r="F427" s="2"/>
      <c r="G427" s="2" t="s">
        <v>118</v>
      </c>
      <c r="H427" s="3">
        <v>0</v>
      </c>
      <c r="I427" s="3">
        <v>3641</v>
      </c>
      <c r="J427" s="3">
        <v>0</v>
      </c>
      <c r="K427" s="3">
        <v>3641</v>
      </c>
      <c r="L427" t="s">
        <v>1071</v>
      </c>
      <c r="M427" t="s">
        <v>1072</v>
      </c>
      <c r="N427" t="s">
        <v>1073</v>
      </c>
      <c r="O427" t="s">
        <v>1074</v>
      </c>
      <c r="P427" t="s">
        <v>1075</v>
      </c>
      <c r="Q427" t="s">
        <v>1076</v>
      </c>
      <c r="R427" t="s">
        <v>1077</v>
      </c>
      <c r="S427" t="s">
        <v>1078</v>
      </c>
      <c r="T427" t="s">
        <v>1079</v>
      </c>
      <c r="U427" t="s">
        <v>1080</v>
      </c>
      <c r="V427" t="s">
        <v>1081</v>
      </c>
      <c r="W427" t="s">
        <v>1082</v>
      </c>
      <c r="X427">
        <v>20240630</v>
      </c>
      <c r="Y427" t="s">
        <v>1083</v>
      </c>
      <c r="Z427" t="s">
        <v>1084</v>
      </c>
      <c r="AA427" s="11" t="str">
        <f t="shared" si="6"/>
        <v>EXEC [dbo].[BalanceGeneralInsertar] @Nivel ='Auxiliar',@Transaccional ='Sí',@CodigoCuentaContable ='24081501', @NombreCuentaContable ='Descontable por servicios',@Identificacion ='830048145',@Sucursal ='',@NombreTercero ='SIIGO S.A.S',@SaldoInicial = 0,@MovimientoDebito = 3641,@MovimientoCredito =0,@SaldoFinal = 0,@Fecha ='20240630',@IdentificacionCliente = '901434038';</v>
      </c>
      <c r="AB427" t="s">
        <v>1085</v>
      </c>
    </row>
    <row r="428" spans="1:28" x14ac:dyDescent="0.25">
      <c r="A428" s="2" t="s">
        <v>28</v>
      </c>
      <c r="B428" s="2" t="s">
        <v>29</v>
      </c>
      <c r="C428" s="2" t="s">
        <v>456</v>
      </c>
      <c r="D428" s="2" t="s">
        <v>455</v>
      </c>
      <c r="E428" s="2" t="s">
        <v>99</v>
      </c>
      <c r="F428" s="2"/>
      <c r="G428" s="2" t="s">
        <v>100</v>
      </c>
      <c r="H428" s="3">
        <v>2945000</v>
      </c>
      <c r="I428" s="3" t="s">
        <v>973</v>
      </c>
      <c r="J428" s="3">
        <v>0</v>
      </c>
      <c r="K428" s="3" t="s">
        <v>974</v>
      </c>
      <c r="L428" t="s">
        <v>1071</v>
      </c>
      <c r="M428" t="s">
        <v>1072</v>
      </c>
      <c r="N428" t="s">
        <v>1073</v>
      </c>
      <c r="O428" t="s">
        <v>1074</v>
      </c>
      <c r="P428" t="s">
        <v>1075</v>
      </c>
      <c r="Q428" t="s">
        <v>1076</v>
      </c>
      <c r="R428" t="s">
        <v>1077</v>
      </c>
      <c r="S428" t="s">
        <v>1078</v>
      </c>
      <c r="T428" t="s">
        <v>1079</v>
      </c>
      <c r="U428" t="s">
        <v>1080</v>
      </c>
      <c r="V428" t="s">
        <v>1081</v>
      </c>
      <c r="W428" t="s">
        <v>1082</v>
      </c>
      <c r="X428">
        <v>20240630</v>
      </c>
      <c r="Y428" t="s">
        <v>1083</v>
      </c>
      <c r="Z428" t="s">
        <v>1084</v>
      </c>
      <c r="AA428" s="11" t="str">
        <f t="shared" si="6"/>
        <v>EXEC [dbo].[BalanceGeneralInsertar] @Nivel ='Auxiliar',@Transaccional ='Sí',@CodigoCuentaContable ='24081501', @NombreCuentaContable ='Descontable por servicios',@Identificacion ='900397663',@Sucursal ='',@NombreTercero ='BTL COLOMBIA SAS',@SaldoInicial = 2945000,@MovimientoDebito = 79831.92,@MovimientoCredito =0,@SaldoFinal = 0,@Fecha ='20240630',@IdentificacionCliente = '901434038';</v>
      </c>
      <c r="AB428" t="s">
        <v>1085</v>
      </c>
    </row>
    <row r="429" spans="1:28" x14ac:dyDescent="0.25">
      <c r="A429" s="2" t="s">
        <v>28</v>
      </c>
      <c r="B429" s="2" t="s">
        <v>29</v>
      </c>
      <c r="C429" s="2" t="s">
        <v>456</v>
      </c>
      <c r="D429" s="2" t="s">
        <v>455</v>
      </c>
      <c r="E429" s="2" t="s">
        <v>457</v>
      </c>
      <c r="F429" s="2"/>
      <c r="G429" s="2" t="s">
        <v>458</v>
      </c>
      <c r="H429" s="3">
        <v>974</v>
      </c>
      <c r="I429" s="3">
        <v>0</v>
      </c>
      <c r="J429" s="3">
        <v>0</v>
      </c>
      <c r="K429" s="3">
        <v>974</v>
      </c>
      <c r="L429" t="s">
        <v>1071</v>
      </c>
      <c r="M429" t="s">
        <v>1072</v>
      </c>
      <c r="N429" t="s">
        <v>1073</v>
      </c>
      <c r="O429" t="s">
        <v>1074</v>
      </c>
      <c r="P429" t="s">
        <v>1075</v>
      </c>
      <c r="Q429" t="s">
        <v>1076</v>
      </c>
      <c r="R429" t="s">
        <v>1077</v>
      </c>
      <c r="S429" t="s">
        <v>1078</v>
      </c>
      <c r="T429" t="s">
        <v>1079</v>
      </c>
      <c r="U429" t="s">
        <v>1080</v>
      </c>
      <c r="V429" t="s">
        <v>1081</v>
      </c>
      <c r="W429" t="s">
        <v>1082</v>
      </c>
      <c r="X429">
        <v>20240630</v>
      </c>
      <c r="Y429" t="s">
        <v>1083</v>
      </c>
      <c r="Z429" t="s">
        <v>1084</v>
      </c>
      <c r="AA429" s="11" t="str">
        <f t="shared" si="6"/>
        <v>EXEC [dbo].[BalanceGeneralInsertar] @Nivel ='Auxiliar',@Transaccional ='Sí',@CodigoCuentaContable ='24081501', @NombreCuentaContable ='Descontable por servicios',@Identificacion ='860058760',@Sucursal ='',@NombreTercero ='PARKING INTERNATIONAL S A S',@SaldoInicial = 974,@MovimientoDebito = 0,@MovimientoCredito =0,@SaldoFinal = 0,@Fecha ='20240630',@IdentificacionCliente = '901434038';</v>
      </c>
      <c r="AB429" t="s">
        <v>1085</v>
      </c>
    </row>
    <row r="430" spans="1:28" x14ac:dyDescent="0.25">
      <c r="A430" s="2" t="s">
        <v>28</v>
      </c>
      <c r="B430" s="2" t="s">
        <v>29</v>
      </c>
      <c r="C430" s="2" t="s">
        <v>456</v>
      </c>
      <c r="D430" s="2" t="s">
        <v>455</v>
      </c>
      <c r="E430" s="2" t="s">
        <v>87</v>
      </c>
      <c r="F430" s="2"/>
      <c r="G430" s="2" t="s">
        <v>88</v>
      </c>
      <c r="H430" s="3">
        <v>8273697</v>
      </c>
      <c r="I430" s="3">
        <v>419900</v>
      </c>
      <c r="J430" s="3">
        <v>2095900</v>
      </c>
      <c r="K430" s="3">
        <v>6597697</v>
      </c>
      <c r="L430" t="s">
        <v>1071</v>
      </c>
      <c r="M430" t="s">
        <v>1072</v>
      </c>
      <c r="N430" t="s">
        <v>1073</v>
      </c>
      <c r="O430" t="s">
        <v>1074</v>
      </c>
      <c r="P430" t="s">
        <v>1075</v>
      </c>
      <c r="Q430" t="s">
        <v>1076</v>
      </c>
      <c r="R430" t="s">
        <v>1077</v>
      </c>
      <c r="S430" t="s">
        <v>1078</v>
      </c>
      <c r="T430" t="s">
        <v>1079</v>
      </c>
      <c r="U430" t="s">
        <v>1080</v>
      </c>
      <c r="V430" t="s">
        <v>1081</v>
      </c>
      <c r="W430" t="s">
        <v>1082</v>
      </c>
      <c r="X430">
        <v>20240630</v>
      </c>
      <c r="Y430" t="s">
        <v>1083</v>
      </c>
      <c r="Z430" t="s">
        <v>1084</v>
      </c>
      <c r="AA430" s="11" t="str">
        <f t="shared" si="6"/>
        <v>EXEC [dbo].[BalanceGeneralInsertar] @Nivel ='Auxiliar',@Transaccional ='Sí',@CodigoCuentaContable ='24081501', @NombreCuentaContable ='Descontable por servicios',@Identificacion ='830054539',@Sucursal ='',@NombreTercero ='FIDUCIARIA BANCOLOMBIA S.A',@SaldoInicial = 8273697,@MovimientoDebito = 419900,@MovimientoCredito =2095900,@SaldoFinal = 2095900,@Fecha ='20240630',@IdentificacionCliente = '901434038';</v>
      </c>
      <c r="AB430" t="s">
        <v>1085</v>
      </c>
    </row>
    <row r="431" spans="1:28" x14ac:dyDescent="0.25">
      <c r="A431" s="2" t="s">
        <v>28</v>
      </c>
      <c r="B431" s="2" t="s">
        <v>29</v>
      </c>
      <c r="C431" s="2" t="s">
        <v>456</v>
      </c>
      <c r="D431" s="2" t="s">
        <v>455</v>
      </c>
      <c r="E431" s="2" t="s">
        <v>63</v>
      </c>
      <c r="F431" s="2"/>
      <c r="G431" s="2" t="s">
        <v>64</v>
      </c>
      <c r="H431" s="3" t="s">
        <v>975</v>
      </c>
      <c r="I431" s="3">
        <v>0</v>
      </c>
      <c r="J431" s="3">
        <v>0</v>
      </c>
      <c r="K431" s="3" t="s">
        <v>975</v>
      </c>
      <c r="L431" t="s">
        <v>1071</v>
      </c>
      <c r="M431" t="s">
        <v>1072</v>
      </c>
      <c r="N431" t="s">
        <v>1073</v>
      </c>
      <c r="O431" t="s">
        <v>1074</v>
      </c>
      <c r="P431" t="s">
        <v>1075</v>
      </c>
      <c r="Q431" t="s">
        <v>1076</v>
      </c>
      <c r="R431" t="s">
        <v>1077</v>
      </c>
      <c r="S431" t="s">
        <v>1078</v>
      </c>
      <c r="T431" t="s">
        <v>1079</v>
      </c>
      <c r="U431" t="s">
        <v>1080</v>
      </c>
      <c r="V431" t="s">
        <v>1081</v>
      </c>
      <c r="W431" t="s">
        <v>1082</v>
      </c>
      <c r="X431">
        <v>20240630</v>
      </c>
      <c r="Y431" t="s">
        <v>1083</v>
      </c>
      <c r="Z431" t="s">
        <v>1084</v>
      </c>
      <c r="AA431" s="11" t="str">
        <f t="shared" si="6"/>
        <v>EXEC [dbo].[BalanceGeneralInsertar] @Nivel ='Auxiliar',@Transaccional ='Sí',@CodigoCuentaContable ='24081501', @NombreCuentaContable ='Descontable por servicios',@Identificacion ='901037101',@Sucursal ='',@NombreTercero ='CO-WORK LATAM COLOMBIA S.A.S',@SaldoInicial = 468011.8,@MovimientoDebito = 0,@MovimientoCredito =0,@SaldoFinal = 0,@Fecha ='20240630',@IdentificacionCliente = '901434038';</v>
      </c>
      <c r="AB431" t="s">
        <v>1085</v>
      </c>
    </row>
    <row r="432" spans="1:28" x14ac:dyDescent="0.25">
      <c r="A432" s="2" t="s">
        <v>28</v>
      </c>
      <c r="B432" s="2" t="s">
        <v>29</v>
      </c>
      <c r="C432" s="2" t="s">
        <v>456</v>
      </c>
      <c r="D432" s="2" t="s">
        <v>455</v>
      </c>
      <c r="E432" s="2" t="s">
        <v>337</v>
      </c>
      <c r="F432" s="2"/>
      <c r="G432" s="2" t="s">
        <v>338</v>
      </c>
      <c r="H432" s="3">
        <v>9120</v>
      </c>
      <c r="I432" s="3">
        <v>0</v>
      </c>
      <c r="J432" s="3">
        <v>0</v>
      </c>
      <c r="K432" s="3">
        <v>9120</v>
      </c>
      <c r="L432" t="s">
        <v>1071</v>
      </c>
      <c r="M432" t="s">
        <v>1072</v>
      </c>
      <c r="N432" t="s">
        <v>1073</v>
      </c>
      <c r="O432" t="s">
        <v>1074</v>
      </c>
      <c r="P432" t="s">
        <v>1075</v>
      </c>
      <c r="Q432" t="s">
        <v>1076</v>
      </c>
      <c r="R432" t="s">
        <v>1077</v>
      </c>
      <c r="S432" t="s">
        <v>1078</v>
      </c>
      <c r="T432" t="s">
        <v>1079</v>
      </c>
      <c r="U432" t="s">
        <v>1080</v>
      </c>
      <c r="V432" t="s">
        <v>1081</v>
      </c>
      <c r="W432" t="s">
        <v>1082</v>
      </c>
      <c r="X432">
        <v>20240630</v>
      </c>
      <c r="Y432" t="s">
        <v>1083</v>
      </c>
      <c r="Z432" t="s">
        <v>1084</v>
      </c>
      <c r="AA432" s="11" t="str">
        <f t="shared" si="6"/>
        <v>EXEC [dbo].[BalanceGeneralInsertar] @Nivel ='Auxiliar',@Transaccional ='Sí',@CodigoCuentaContable ='24081501', @NombreCuentaContable ='Descontable por servicios',@Identificacion ='900165105',@Sucursal ='',@NombreTercero ='COLOMBIAHOSTING SAS',@SaldoInicial = 9120,@MovimientoDebito = 0,@MovimientoCredito =0,@SaldoFinal = 0,@Fecha ='20240630',@IdentificacionCliente = '901434038';</v>
      </c>
      <c r="AB432" t="s">
        <v>1085</v>
      </c>
    </row>
    <row r="433" spans="1:28" x14ac:dyDescent="0.25">
      <c r="A433" s="2" t="s">
        <v>28</v>
      </c>
      <c r="B433" s="2" t="s">
        <v>29</v>
      </c>
      <c r="C433" s="2" t="s">
        <v>456</v>
      </c>
      <c r="D433" s="2" t="s">
        <v>455</v>
      </c>
      <c r="E433" s="2" t="s">
        <v>364</v>
      </c>
      <c r="F433" s="2"/>
      <c r="G433" s="2" t="s">
        <v>365</v>
      </c>
      <c r="H433" s="3" t="s">
        <v>976</v>
      </c>
      <c r="I433" s="3">
        <v>1178</v>
      </c>
      <c r="J433" s="3">
        <v>0</v>
      </c>
      <c r="K433" s="3" t="s">
        <v>977</v>
      </c>
      <c r="L433" t="s">
        <v>1071</v>
      </c>
      <c r="M433" t="s">
        <v>1072</v>
      </c>
      <c r="N433" t="s">
        <v>1073</v>
      </c>
      <c r="O433" t="s">
        <v>1074</v>
      </c>
      <c r="P433" t="s">
        <v>1075</v>
      </c>
      <c r="Q433" t="s">
        <v>1076</v>
      </c>
      <c r="R433" t="s">
        <v>1077</v>
      </c>
      <c r="S433" t="s">
        <v>1078</v>
      </c>
      <c r="T433" t="s">
        <v>1079</v>
      </c>
      <c r="U433" t="s">
        <v>1080</v>
      </c>
      <c r="V433" t="s">
        <v>1081</v>
      </c>
      <c r="W433" t="s">
        <v>1082</v>
      </c>
      <c r="X433">
        <v>20240630</v>
      </c>
      <c r="Y433" t="s">
        <v>1083</v>
      </c>
      <c r="Z433" t="s">
        <v>1084</v>
      </c>
      <c r="AA433" s="11" t="str">
        <f t="shared" si="6"/>
        <v>EXEC [dbo].[BalanceGeneralInsertar] @Nivel ='Auxiliar',@Transaccional ='Sí',@CodigoCuentaContable ='24081501', @NombreCuentaContable ='Descontable por servicios',@Identificacion ='901330185',@Sucursal ='',@NombreTercero ='OPENPAY COLOMBIA S.A.S',@SaldoInicial = 7077.5,@MovimientoDebito = 1178,@MovimientoCredito =0,@SaldoFinal = 0,@Fecha ='20240630',@IdentificacionCliente = '901434038';</v>
      </c>
      <c r="AB433" t="s">
        <v>1085</v>
      </c>
    </row>
    <row r="434" spans="1:28" x14ac:dyDescent="0.25">
      <c r="A434" s="2" t="s">
        <v>28</v>
      </c>
      <c r="B434" s="2" t="s">
        <v>29</v>
      </c>
      <c r="C434" s="2" t="s">
        <v>456</v>
      </c>
      <c r="D434" s="2" t="s">
        <v>455</v>
      </c>
      <c r="E434" s="2" t="s">
        <v>459</v>
      </c>
      <c r="F434" s="2"/>
      <c r="G434" s="2" t="s">
        <v>460</v>
      </c>
      <c r="H434" s="3">
        <v>0</v>
      </c>
      <c r="I434" s="3">
        <v>2095900</v>
      </c>
      <c r="J434" s="3">
        <v>0</v>
      </c>
      <c r="K434" s="3">
        <v>2095900</v>
      </c>
      <c r="L434" t="s">
        <v>1071</v>
      </c>
      <c r="M434" t="s">
        <v>1072</v>
      </c>
      <c r="N434" t="s">
        <v>1073</v>
      </c>
      <c r="O434" t="s">
        <v>1074</v>
      </c>
      <c r="P434" t="s">
        <v>1075</v>
      </c>
      <c r="Q434" t="s">
        <v>1076</v>
      </c>
      <c r="R434" t="s">
        <v>1077</v>
      </c>
      <c r="S434" t="s">
        <v>1078</v>
      </c>
      <c r="T434" t="s">
        <v>1079</v>
      </c>
      <c r="U434" t="s">
        <v>1080</v>
      </c>
      <c r="V434" t="s">
        <v>1081</v>
      </c>
      <c r="W434" t="s">
        <v>1082</v>
      </c>
      <c r="X434">
        <v>20240630</v>
      </c>
      <c r="Y434" t="s">
        <v>1083</v>
      </c>
      <c r="Z434" t="s">
        <v>1084</v>
      </c>
      <c r="AA434" s="11" t="str">
        <f t="shared" si="6"/>
        <v>EXEC [dbo].[BalanceGeneralInsertar] @Nivel ='Auxiliar',@Transaccional ='Sí',@CodigoCuentaContable ='24081501', @NombreCuentaContable ='Descontable por servicios',@Identificacion ='800150280',@Sucursal ='',@NombreTercero ='FIDUCIARIA BANCOLOMBIA S A SOCIEDAD FIDUCIARIA',@SaldoInicial = 0,@MovimientoDebito = 2095900,@MovimientoCredito =0,@SaldoFinal = 0,@Fecha ='20240630',@IdentificacionCliente = '901434038';</v>
      </c>
      <c r="AB434" t="s">
        <v>1085</v>
      </c>
    </row>
    <row r="435" spans="1:28" x14ac:dyDescent="0.25">
      <c r="A435" s="2" t="s">
        <v>25</v>
      </c>
      <c r="B435" s="2" t="s">
        <v>16</v>
      </c>
      <c r="C435" s="2" t="s">
        <v>461</v>
      </c>
      <c r="D435" s="2" t="s">
        <v>462</v>
      </c>
      <c r="E435" s="2"/>
      <c r="F435" s="2"/>
      <c r="G435" s="2"/>
      <c r="H435" s="3">
        <v>0</v>
      </c>
      <c r="I435" s="3" t="s">
        <v>978</v>
      </c>
      <c r="J435" s="3">
        <v>918000</v>
      </c>
      <c r="K435" s="3" t="s">
        <v>979</v>
      </c>
      <c r="L435" t="s">
        <v>1071</v>
      </c>
      <c r="M435" t="s">
        <v>1072</v>
      </c>
      <c r="N435" t="s">
        <v>1073</v>
      </c>
      <c r="O435" t="s">
        <v>1074</v>
      </c>
      <c r="P435" t="s">
        <v>1075</v>
      </c>
      <c r="Q435" t="s">
        <v>1076</v>
      </c>
      <c r="R435" t="s">
        <v>1077</v>
      </c>
      <c r="S435" t="s">
        <v>1078</v>
      </c>
      <c r="T435" t="s">
        <v>1079</v>
      </c>
      <c r="U435" t="s">
        <v>1080</v>
      </c>
      <c r="V435" t="s">
        <v>1081</v>
      </c>
      <c r="W435" t="s">
        <v>1082</v>
      </c>
      <c r="X435">
        <v>20240630</v>
      </c>
      <c r="Y435" t="s">
        <v>1083</v>
      </c>
      <c r="Z435" t="s">
        <v>1084</v>
      </c>
      <c r="AA435" s="11" t="str">
        <f t="shared" si="6"/>
        <v>EXEC [dbo].[BalanceGeneralInsertar] @Nivel ='Subcuenta',@Transaccional ='No',@CodigoCuentaContable ='240890', @NombreCuentaContable ='Iva por pagar',@Identificacion ='',@Sucursal ='',@NombreTercero ='',@SaldoInicial = 0,@MovimientoDebito = 234934.45,@MovimientoCredito =918000,@SaldoFinal = 918000,@Fecha ='20240630',@IdentificacionCliente = '901434038';</v>
      </c>
      <c r="AB435" t="s">
        <v>1085</v>
      </c>
    </row>
    <row r="436" spans="1:28" x14ac:dyDescent="0.25">
      <c r="A436" s="2" t="s">
        <v>28</v>
      </c>
      <c r="B436" s="2" t="s">
        <v>29</v>
      </c>
      <c r="C436" s="2" t="s">
        <v>463</v>
      </c>
      <c r="D436" s="2" t="s">
        <v>462</v>
      </c>
      <c r="E436" s="2" t="s">
        <v>39</v>
      </c>
      <c r="F436" s="2"/>
      <c r="G436" s="2" t="s">
        <v>40</v>
      </c>
      <c r="H436" s="3">
        <v>0</v>
      </c>
      <c r="I436" s="3" t="s">
        <v>978</v>
      </c>
      <c r="J436" s="3">
        <v>918000</v>
      </c>
      <c r="K436" s="3" t="s">
        <v>979</v>
      </c>
      <c r="L436" t="s">
        <v>1071</v>
      </c>
      <c r="M436" t="s">
        <v>1072</v>
      </c>
      <c r="N436" t="s">
        <v>1073</v>
      </c>
      <c r="O436" t="s">
        <v>1074</v>
      </c>
      <c r="P436" t="s">
        <v>1075</v>
      </c>
      <c r="Q436" t="s">
        <v>1076</v>
      </c>
      <c r="R436" t="s">
        <v>1077</v>
      </c>
      <c r="S436" t="s">
        <v>1078</v>
      </c>
      <c r="T436" t="s">
        <v>1079</v>
      </c>
      <c r="U436" t="s">
        <v>1080</v>
      </c>
      <c r="V436" t="s">
        <v>1081</v>
      </c>
      <c r="W436" t="s">
        <v>1082</v>
      </c>
      <c r="X436">
        <v>20240630</v>
      </c>
      <c r="Y436" t="s">
        <v>1083</v>
      </c>
      <c r="Z436" t="s">
        <v>1084</v>
      </c>
      <c r="AA436" s="11" t="str">
        <f t="shared" si="6"/>
        <v>EXEC [dbo].[BalanceGeneralInsertar] @Nivel ='Auxiliar',@Transaccional ='Sí',@CodigoCuentaContable ='24089001', @NombreCuentaContable ='Iva por pagar',@Identificacion ='800197268',@Sucursal ='',@NombreTercero ='DIAN',@SaldoInicial = 0,@MovimientoDebito = 234934.45,@MovimientoCredito =918000,@SaldoFinal = 918000,@Fecha ='20240630',@IdentificacionCliente = '901434038';</v>
      </c>
      <c r="AB436" t="s">
        <v>1085</v>
      </c>
    </row>
    <row r="437" spans="1:28" x14ac:dyDescent="0.25">
      <c r="A437" s="2" t="s">
        <v>22</v>
      </c>
      <c r="B437" s="2" t="s">
        <v>16</v>
      </c>
      <c r="C437" s="2" t="s">
        <v>464</v>
      </c>
      <c r="D437" s="2" t="s">
        <v>465</v>
      </c>
      <c r="E437" s="2"/>
      <c r="F437" s="2"/>
      <c r="G437" s="2"/>
      <c r="H437" s="3" t="s">
        <v>980</v>
      </c>
      <c r="I437" s="3">
        <v>2632000</v>
      </c>
      <c r="J437" s="3">
        <v>1101416</v>
      </c>
      <c r="K437" s="3" t="s">
        <v>981</v>
      </c>
      <c r="L437" t="s">
        <v>1071</v>
      </c>
      <c r="M437" t="s">
        <v>1072</v>
      </c>
      <c r="N437" t="s">
        <v>1073</v>
      </c>
      <c r="O437" t="s">
        <v>1074</v>
      </c>
      <c r="P437" t="s">
        <v>1075</v>
      </c>
      <c r="Q437" t="s">
        <v>1076</v>
      </c>
      <c r="R437" t="s">
        <v>1077</v>
      </c>
      <c r="S437" t="s">
        <v>1078</v>
      </c>
      <c r="T437" t="s">
        <v>1079</v>
      </c>
      <c r="U437" t="s">
        <v>1080</v>
      </c>
      <c r="V437" t="s">
        <v>1081</v>
      </c>
      <c r="W437" t="s">
        <v>1082</v>
      </c>
      <c r="X437">
        <v>20240630</v>
      </c>
      <c r="Y437" t="s">
        <v>1083</v>
      </c>
      <c r="Z437" t="s">
        <v>1084</v>
      </c>
      <c r="AA437" s="11" t="str">
        <f t="shared" si="6"/>
        <v>EXEC [dbo].[BalanceGeneralInsertar] @Nivel ='Cuenta',@Transaccional ='No',@CodigoCuentaContable ='2412', @NombreCuentaContable ='Provision de ica',@Identificacion ='',@Sucursal ='',@NombreTercero ='',@SaldoInicial = -4619347.39,@MovimientoDebito = 2632000,@MovimientoCredito =1101416,@SaldoFinal = 1101416,@Fecha ='20240630',@IdentificacionCliente = '901434038';</v>
      </c>
      <c r="AB437" t="s">
        <v>1085</v>
      </c>
    </row>
    <row r="438" spans="1:28" x14ac:dyDescent="0.25">
      <c r="A438" s="2" t="s">
        <v>25</v>
      </c>
      <c r="B438" s="2" t="s">
        <v>16</v>
      </c>
      <c r="C438" s="2" t="s">
        <v>466</v>
      </c>
      <c r="D438" s="2" t="s">
        <v>467</v>
      </c>
      <c r="E438" s="2"/>
      <c r="F438" s="2"/>
      <c r="G438" s="2"/>
      <c r="H438" s="3" t="s">
        <v>980</v>
      </c>
      <c r="I438" s="3">
        <v>2632000</v>
      </c>
      <c r="J438" s="3">
        <v>1101416</v>
      </c>
      <c r="K438" s="3" t="s">
        <v>981</v>
      </c>
      <c r="L438" t="s">
        <v>1071</v>
      </c>
      <c r="M438" t="s">
        <v>1072</v>
      </c>
      <c r="N438" t="s">
        <v>1073</v>
      </c>
      <c r="O438" t="s">
        <v>1074</v>
      </c>
      <c r="P438" t="s">
        <v>1075</v>
      </c>
      <c r="Q438" t="s">
        <v>1076</v>
      </c>
      <c r="R438" t="s">
        <v>1077</v>
      </c>
      <c r="S438" t="s">
        <v>1078</v>
      </c>
      <c r="T438" t="s">
        <v>1079</v>
      </c>
      <c r="U438" t="s">
        <v>1080</v>
      </c>
      <c r="V438" t="s">
        <v>1081</v>
      </c>
      <c r="W438" t="s">
        <v>1082</v>
      </c>
      <c r="X438">
        <v>20240630</v>
      </c>
      <c r="Y438" t="s">
        <v>1083</v>
      </c>
      <c r="Z438" t="s">
        <v>1084</v>
      </c>
      <c r="AA438" s="11" t="str">
        <f t="shared" si="6"/>
        <v>EXEC [dbo].[BalanceGeneralInsertar] @Nivel ='Subcuenta',@Transaccional ='No',@CodigoCuentaContable ='241201', @NombreCuentaContable ='Provsion Ica',@Identificacion ='',@Sucursal ='',@NombreTercero ='',@SaldoInicial = -4619347.39,@MovimientoDebito = 2632000,@MovimientoCredito =1101416,@SaldoFinal = 1101416,@Fecha ='20240630',@IdentificacionCliente = '901434038';</v>
      </c>
      <c r="AB438" t="s">
        <v>1085</v>
      </c>
    </row>
    <row r="439" spans="1:28" x14ac:dyDescent="0.25">
      <c r="A439" s="2" t="s">
        <v>28</v>
      </c>
      <c r="B439" s="2" t="s">
        <v>29</v>
      </c>
      <c r="C439" s="2" t="s">
        <v>468</v>
      </c>
      <c r="D439" s="2" t="s">
        <v>469</v>
      </c>
      <c r="E439" s="2" t="s">
        <v>33</v>
      </c>
      <c r="F439" s="2"/>
      <c r="G439" s="2" t="s">
        <v>34</v>
      </c>
      <c r="H439" s="3" t="s">
        <v>982</v>
      </c>
      <c r="I439" s="3">
        <v>0</v>
      </c>
      <c r="J439" s="3">
        <v>1101416</v>
      </c>
      <c r="K439" s="3" t="s">
        <v>983</v>
      </c>
      <c r="L439" t="s">
        <v>1071</v>
      </c>
      <c r="M439" t="s">
        <v>1072</v>
      </c>
      <c r="N439" t="s">
        <v>1073</v>
      </c>
      <c r="O439" t="s">
        <v>1074</v>
      </c>
      <c r="P439" t="s">
        <v>1075</v>
      </c>
      <c r="Q439" t="s">
        <v>1076</v>
      </c>
      <c r="R439" t="s">
        <v>1077</v>
      </c>
      <c r="S439" t="s">
        <v>1078</v>
      </c>
      <c r="T439" t="s">
        <v>1079</v>
      </c>
      <c r="U439" t="s">
        <v>1080</v>
      </c>
      <c r="V439" t="s">
        <v>1081</v>
      </c>
      <c r="W439" t="s">
        <v>1082</v>
      </c>
      <c r="X439">
        <v>20240630</v>
      </c>
      <c r="Y439" t="s">
        <v>1083</v>
      </c>
      <c r="Z439" t="s">
        <v>1084</v>
      </c>
      <c r="AA439" s="11" t="str">
        <f t="shared" si="6"/>
        <v>EXEC [dbo].[BalanceGeneralInsertar] @Nivel ='Auxiliar',@Transaccional ='Sí',@CodigoCuentaContable ='24120101', @NombreCuentaContable ='Provision ica',@Identificacion ='899999061',@Sucursal ='',@NombreTercero ='Secretaría Distrital de Hacienda',@SaldoInicial = -18955347.39,@MovimientoDebito = 0,@MovimientoCredito =1101416,@SaldoFinal = 1101416,@Fecha ='20240630',@IdentificacionCliente = '901434038';</v>
      </c>
      <c r="AB439" t="s">
        <v>1085</v>
      </c>
    </row>
    <row r="440" spans="1:28" x14ac:dyDescent="0.25">
      <c r="A440" s="2" t="s">
        <v>28</v>
      </c>
      <c r="B440" s="2" t="s">
        <v>29</v>
      </c>
      <c r="C440" s="2" t="s">
        <v>468</v>
      </c>
      <c r="D440" s="2" t="s">
        <v>469</v>
      </c>
      <c r="E440" s="2" t="s">
        <v>39</v>
      </c>
      <c r="F440" s="2"/>
      <c r="G440" s="2" t="s">
        <v>40</v>
      </c>
      <c r="H440" s="3">
        <v>14336000</v>
      </c>
      <c r="I440" s="3">
        <v>2632000</v>
      </c>
      <c r="J440" s="3">
        <v>0</v>
      </c>
      <c r="K440" s="3">
        <v>16968000</v>
      </c>
      <c r="L440" t="s">
        <v>1071</v>
      </c>
      <c r="M440" t="s">
        <v>1072</v>
      </c>
      <c r="N440" t="s">
        <v>1073</v>
      </c>
      <c r="O440" t="s">
        <v>1074</v>
      </c>
      <c r="P440" t="s">
        <v>1075</v>
      </c>
      <c r="Q440" t="s">
        <v>1076</v>
      </c>
      <c r="R440" t="s">
        <v>1077</v>
      </c>
      <c r="S440" t="s">
        <v>1078</v>
      </c>
      <c r="T440" t="s">
        <v>1079</v>
      </c>
      <c r="U440" t="s">
        <v>1080</v>
      </c>
      <c r="V440" t="s">
        <v>1081</v>
      </c>
      <c r="W440" t="s">
        <v>1082</v>
      </c>
      <c r="X440">
        <v>20240630</v>
      </c>
      <c r="Y440" t="s">
        <v>1083</v>
      </c>
      <c r="Z440" t="s">
        <v>1084</v>
      </c>
      <c r="AA440" s="11" t="str">
        <f t="shared" si="6"/>
        <v>EXEC [dbo].[BalanceGeneralInsertar] @Nivel ='Auxiliar',@Transaccional ='Sí',@CodigoCuentaContable ='24120101', @NombreCuentaContable ='Provision ica',@Identificacion ='800197268',@Sucursal ='',@NombreTercero ='DIAN',@SaldoInicial = 14336000,@MovimientoDebito = 2632000,@MovimientoCredito =0,@SaldoFinal = 0,@Fecha ='20240630',@IdentificacionCliente = '901434038';</v>
      </c>
      <c r="AB440" t="s">
        <v>1085</v>
      </c>
    </row>
    <row r="441" spans="1:28" x14ac:dyDescent="0.25">
      <c r="A441" s="2" t="s">
        <v>19</v>
      </c>
      <c r="B441" s="2" t="s">
        <v>16</v>
      </c>
      <c r="C441" s="2" t="s">
        <v>470</v>
      </c>
      <c r="D441" s="2" t="s">
        <v>471</v>
      </c>
      <c r="E441" s="2"/>
      <c r="F441" s="2"/>
      <c r="G441" s="2"/>
      <c r="H441" s="3">
        <v>-11291694</v>
      </c>
      <c r="I441" s="3">
        <v>7078903</v>
      </c>
      <c r="J441" s="3">
        <v>5014402</v>
      </c>
      <c r="K441" s="3">
        <v>-9227193</v>
      </c>
      <c r="L441" t="s">
        <v>1071</v>
      </c>
      <c r="M441" t="s">
        <v>1072</v>
      </c>
      <c r="N441" t="s">
        <v>1073</v>
      </c>
      <c r="O441" t="s">
        <v>1074</v>
      </c>
      <c r="P441" t="s">
        <v>1075</v>
      </c>
      <c r="Q441" t="s">
        <v>1076</v>
      </c>
      <c r="R441" t="s">
        <v>1077</v>
      </c>
      <c r="S441" t="s">
        <v>1078</v>
      </c>
      <c r="T441" t="s">
        <v>1079</v>
      </c>
      <c r="U441" t="s">
        <v>1080</v>
      </c>
      <c r="V441" t="s">
        <v>1081</v>
      </c>
      <c r="W441" t="s">
        <v>1082</v>
      </c>
      <c r="X441">
        <v>20240630</v>
      </c>
      <c r="Y441" t="s">
        <v>1083</v>
      </c>
      <c r="Z441" t="s">
        <v>1084</v>
      </c>
      <c r="AA441" s="11" t="str">
        <f t="shared" si="6"/>
        <v>EXEC [dbo].[BalanceGeneralInsertar] @Nivel ='Grupo',@Transaccional ='No',@CodigoCuentaContable ='25', @NombreCuentaContable ='Beneficios a empleados',@Identificacion ='',@Sucursal ='',@NombreTercero ='',@SaldoInicial = -11291694,@MovimientoDebito = 7078903,@MovimientoCredito =5014402,@SaldoFinal = 5014402,@Fecha ='20240630',@IdentificacionCliente = '901434038';</v>
      </c>
      <c r="AB441" t="s">
        <v>1085</v>
      </c>
    </row>
    <row r="442" spans="1:28" x14ac:dyDescent="0.25">
      <c r="A442" s="2" t="s">
        <v>22</v>
      </c>
      <c r="B442" s="2" t="s">
        <v>16</v>
      </c>
      <c r="C442" s="2" t="s">
        <v>472</v>
      </c>
      <c r="D442" s="2" t="s">
        <v>473</v>
      </c>
      <c r="E442" s="2"/>
      <c r="F442" s="2"/>
      <c r="G442" s="2"/>
      <c r="H442" s="3">
        <v>-607</v>
      </c>
      <c r="I442" s="3">
        <v>4084000</v>
      </c>
      <c r="J442" s="3">
        <v>4084000</v>
      </c>
      <c r="K442" s="3">
        <v>-607</v>
      </c>
      <c r="L442" t="s">
        <v>1071</v>
      </c>
      <c r="M442" t="s">
        <v>1072</v>
      </c>
      <c r="N442" t="s">
        <v>1073</v>
      </c>
      <c r="O442" t="s">
        <v>1074</v>
      </c>
      <c r="P442" t="s">
        <v>1075</v>
      </c>
      <c r="Q442" t="s">
        <v>1076</v>
      </c>
      <c r="R442" t="s">
        <v>1077</v>
      </c>
      <c r="S442" t="s">
        <v>1078</v>
      </c>
      <c r="T442" t="s">
        <v>1079</v>
      </c>
      <c r="U442" t="s">
        <v>1080</v>
      </c>
      <c r="V442" t="s">
        <v>1081</v>
      </c>
      <c r="W442" t="s">
        <v>1082</v>
      </c>
      <c r="X442">
        <v>20240630</v>
      </c>
      <c r="Y442" t="s">
        <v>1083</v>
      </c>
      <c r="Z442" t="s">
        <v>1084</v>
      </c>
      <c r="AA442" s="11" t="str">
        <f t="shared" si="6"/>
        <v>EXEC [dbo].[BalanceGeneralInsertar] @Nivel ='Cuenta',@Transaccional ='No',@CodigoCuentaContable ='2505', @NombreCuentaContable ='Salarios por pagar',@Identificacion ='',@Sucursal ='',@NombreTercero ='',@SaldoInicial = -607,@MovimientoDebito = 4084000,@MovimientoCredito =4084000,@SaldoFinal = 4084000,@Fecha ='20240630',@IdentificacionCliente = '901434038';</v>
      </c>
      <c r="AB442" t="s">
        <v>1085</v>
      </c>
    </row>
    <row r="443" spans="1:28" x14ac:dyDescent="0.25">
      <c r="A443" s="2" t="s">
        <v>25</v>
      </c>
      <c r="B443" s="2" t="s">
        <v>16</v>
      </c>
      <c r="C443" s="2" t="s">
        <v>474</v>
      </c>
      <c r="D443" s="2" t="s">
        <v>473</v>
      </c>
      <c r="E443" s="2"/>
      <c r="F443" s="2"/>
      <c r="G443" s="2"/>
      <c r="H443" s="3">
        <v>-607</v>
      </c>
      <c r="I443" s="3">
        <v>4084000</v>
      </c>
      <c r="J443" s="3">
        <v>4084000</v>
      </c>
      <c r="K443" s="3">
        <v>-607</v>
      </c>
      <c r="L443" t="s">
        <v>1071</v>
      </c>
      <c r="M443" t="s">
        <v>1072</v>
      </c>
      <c r="N443" t="s">
        <v>1073</v>
      </c>
      <c r="O443" t="s">
        <v>1074</v>
      </c>
      <c r="P443" t="s">
        <v>1075</v>
      </c>
      <c r="Q443" t="s">
        <v>1076</v>
      </c>
      <c r="R443" t="s">
        <v>1077</v>
      </c>
      <c r="S443" t="s">
        <v>1078</v>
      </c>
      <c r="T443" t="s">
        <v>1079</v>
      </c>
      <c r="U443" t="s">
        <v>1080</v>
      </c>
      <c r="V443" t="s">
        <v>1081</v>
      </c>
      <c r="W443" t="s">
        <v>1082</v>
      </c>
      <c r="X443">
        <v>20240630</v>
      </c>
      <c r="Y443" t="s">
        <v>1083</v>
      </c>
      <c r="Z443" t="s">
        <v>1084</v>
      </c>
      <c r="AA443" s="11" t="str">
        <f t="shared" si="6"/>
        <v>EXEC [dbo].[BalanceGeneralInsertar] @Nivel ='Subcuenta',@Transaccional ='No',@CodigoCuentaContable ='250505', @NombreCuentaContable ='Salarios por pagar',@Identificacion ='',@Sucursal ='',@NombreTercero ='',@SaldoInicial = -607,@MovimientoDebito = 4084000,@MovimientoCredito =4084000,@SaldoFinal = 4084000,@Fecha ='20240630',@IdentificacionCliente = '901434038';</v>
      </c>
      <c r="AB443" t="s">
        <v>1085</v>
      </c>
    </row>
    <row r="444" spans="1:28" x14ac:dyDescent="0.25">
      <c r="A444" s="2" t="s">
        <v>28</v>
      </c>
      <c r="B444" s="2" t="s">
        <v>29</v>
      </c>
      <c r="C444" s="2" t="s">
        <v>475</v>
      </c>
      <c r="D444" s="2" t="s">
        <v>473</v>
      </c>
      <c r="E444" s="2" t="s">
        <v>119</v>
      </c>
      <c r="F444" s="2"/>
      <c r="G444" s="2" t="s">
        <v>120</v>
      </c>
      <c r="H444" s="3">
        <v>0</v>
      </c>
      <c r="I444" s="3">
        <v>2002000</v>
      </c>
      <c r="J444" s="3">
        <v>2002000</v>
      </c>
      <c r="K444" s="3">
        <v>0</v>
      </c>
      <c r="L444" t="s">
        <v>1071</v>
      </c>
      <c r="M444" t="s">
        <v>1072</v>
      </c>
      <c r="N444" t="s">
        <v>1073</v>
      </c>
      <c r="O444" t="s">
        <v>1074</v>
      </c>
      <c r="P444" t="s">
        <v>1075</v>
      </c>
      <c r="Q444" t="s">
        <v>1076</v>
      </c>
      <c r="R444" t="s">
        <v>1077</v>
      </c>
      <c r="S444" t="s">
        <v>1078</v>
      </c>
      <c r="T444" t="s">
        <v>1079</v>
      </c>
      <c r="U444" t="s">
        <v>1080</v>
      </c>
      <c r="V444" t="s">
        <v>1081</v>
      </c>
      <c r="W444" t="s">
        <v>1082</v>
      </c>
      <c r="X444">
        <v>20240630</v>
      </c>
      <c r="Y444" t="s">
        <v>1083</v>
      </c>
      <c r="Z444" t="s">
        <v>1084</v>
      </c>
      <c r="AA444" s="11" t="str">
        <f t="shared" si="6"/>
        <v>EXEC [dbo].[BalanceGeneralInsertar] @Nivel ='Auxiliar',@Transaccional ='Sí',@CodigoCuentaContable ='25050501', @NombreCuentaContable ='Salarios por pagar',@Identificacion ='80196373',@Sucursal ='',@NombreTercero ='JUAN FERNANDO DURAN LOPEZ',@SaldoInicial = 0,@MovimientoDebito = 2002000,@MovimientoCredito =2002000,@SaldoFinal = 2002000,@Fecha ='20240630',@IdentificacionCliente = '901434038';</v>
      </c>
      <c r="AB444" t="s">
        <v>1085</v>
      </c>
    </row>
    <row r="445" spans="1:28" x14ac:dyDescent="0.25">
      <c r="A445" s="2" t="s">
        <v>28</v>
      </c>
      <c r="B445" s="2" t="s">
        <v>29</v>
      </c>
      <c r="C445" s="2" t="s">
        <v>475</v>
      </c>
      <c r="D445" s="2" t="s">
        <v>473</v>
      </c>
      <c r="E445" s="2" t="s">
        <v>101</v>
      </c>
      <c r="F445" s="2"/>
      <c r="G445" s="2" t="s">
        <v>102</v>
      </c>
      <c r="H445" s="3">
        <v>-607</v>
      </c>
      <c r="I445" s="3">
        <v>2082000</v>
      </c>
      <c r="J445" s="3">
        <v>2082000</v>
      </c>
      <c r="K445" s="3">
        <v>-607</v>
      </c>
      <c r="L445" t="s">
        <v>1071</v>
      </c>
      <c r="M445" t="s">
        <v>1072</v>
      </c>
      <c r="N445" t="s">
        <v>1073</v>
      </c>
      <c r="O445" t="s">
        <v>1074</v>
      </c>
      <c r="P445" t="s">
        <v>1075</v>
      </c>
      <c r="Q445" t="s">
        <v>1076</v>
      </c>
      <c r="R445" t="s">
        <v>1077</v>
      </c>
      <c r="S445" t="s">
        <v>1078</v>
      </c>
      <c r="T445" t="s">
        <v>1079</v>
      </c>
      <c r="U445" t="s">
        <v>1080</v>
      </c>
      <c r="V445" t="s">
        <v>1081</v>
      </c>
      <c r="W445" t="s">
        <v>1082</v>
      </c>
      <c r="X445">
        <v>20240630</v>
      </c>
      <c r="Y445" t="s">
        <v>1083</v>
      </c>
      <c r="Z445" t="s">
        <v>1084</v>
      </c>
      <c r="AA445" s="11" t="str">
        <f t="shared" si="6"/>
        <v>EXEC [dbo].[BalanceGeneralInsertar] @Nivel ='Auxiliar',@Transaccional ='Sí',@CodigoCuentaContable ='25050501', @NombreCuentaContable ='Salarios por pagar',@Identificacion ='31383821',@Sucursal ='',@NombreTercero ='PATRICIA LOPEZ',@SaldoInicial = -607,@MovimientoDebito = 2082000,@MovimientoCredito =2082000,@SaldoFinal = 2082000,@Fecha ='20240630',@IdentificacionCliente = '901434038';</v>
      </c>
      <c r="AB445" t="s">
        <v>1085</v>
      </c>
    </row>
    <row r="446" spans="1:28" x14ac:dyDescent="0.25">
      <c r="A446" s="2" t="s">
        <v>22</v>
      </c>
      <c r="B446" s="2" t="s">
        <v>16</v>
      </c>
      <c r="C446" s="2" t="s">
        <v>476</v>
      </c>
      <c r="D446" s="2" t="s">
        <v>477</v>
      </c>
      <c r="E446" s="2"/>
      <c r="F446" s="2"/>
      <c r="G446" s="2"/>
      <c r="H446" s="3">
        <v>-3464474</v>
      </c>
      <c r="I446" s="3">
        <v>2994903</v>
      </c>
      <c r="J446" s="3">
        <v>720380</v>
      </c>
      <c r="K446" s="3">
        <v>-1189951</v>
      </c>
      <c r="L446" t="s">
        <v>1071</v>
      </c>
      <c r="M446" t="s">
        <v>1072</v>
      </c>
      <c r="N446" t="s">
        <v>1073</v>
      </c>
      <c r="O446" t="s">
        <v>1074</v>
      </c>
      <c r="P446" t="s">
        <v>1075</v>
      </c>
      <c r="Q446" t="s">
        <v>1076</v>
      </c>
      <c r="R446" t="s">
        <v>1077</v>
      </c>
      <c r="S446" t="s">
        <v>1078</v>
      </c>
      <c r="T446" t="s">
        <v>1079</v>
      </c>
      <c r="U446" t="s">
        <v>1080</v>
      </c>
      <c r="V446" t="s">
        <v>1081</v>
      </c>
      <c r="W446" t="s">
        <v>1082</v>
      </c>
      <c r="X446">
        <v>20240630</v>
      </c>
      <c r="Y446" t="s">
        <v>1083</v>
      </c>
      <c r="Z446" t="s">
        <v>1084</v>
      </c>
      <c r="AA446" s="11" t="str">
        <f t="shared" si="6"/>
        <v>EXEC [dbo].[BalanceGeneralInsertar] @Nivel ='Cuenta',@Transaccional ='No',@CodigoCuentaContable ='2510', @NombreCuentaContable ='Pasivo estimado para obligaciones laborales',@Identificacion ='',@Sucursal ='',@NombreTercero ='',@SaldoInicial = -3464474,@MovimientoDebito = 2994903,@MovimientoCredito =720380,@SaldoFinal = 720380,@Fecha ='20240630',@IdentificacionCliente = '901434038';</v>
      </c>
      <c r="AB446" t="s">
        <v>1085</v>
      </c>
    </row>
    <row r="447" spans="1:28" x14ac:dyDescent="0.25">
      <c r="A447" s="2" t="s">
        <v>25</v>
      </c>
      <c r="B447" s="2" t="s">
        <v>16</v>
      </c>
      <c r="C447" s="2" t="s">
        <v>478</v>
      </c>
      <c r="D447" s="2" t="s">
        <v>477</v>
      </c>
      <c r="E447" s="2"/>
      <c r="F447" s="2"/>
      <c r="G447" s="2"/>
      <c r="H447" s="3">
        <v>-3464474</v>
      </c>
      <c r="I447" s="3">
        <v>2994903</v>
      </c>
      <c r="J447" s="3">
        <v>720380</v>
      </c>
      <c r="K447" s="3">
        <v>-1189951</v>
      </c>
      <c r="L447" t="s">
        <v>1071</v>
      </c>
      <c r="M447" t="s">
        <v>1072</v>
      </c>
      <c r="N447" t="s">
        <v>1073</v>
      </c>
      <c r="O447" t="s">
        <v>1074</v>
      </c>
      <c r="P447" t="s">
        <v>1075</v>
      </c>
      <c r="Q447" t="s">
        <v>1076</v>
      </c>
      <c r="R447" t="s">
        <v>1077</v>
      </c>
      <c r="S447" t="s">
        <v>1078</v>
      </c>
      <c r="T447" t="s">
        <v>1079</v>
      </c>
      <c r="U447" t="s">
        <v>1080</v>
      </c>
      <c r="V447" t="s">
        <v>1081</v>
      </c>
      <c r="W447" t="s">
        <v>1082</v>
      </c>
      <c r="X447">
        <v>20240630</v>
      </c>
      <c r="Y447" t="s">
        <v>1083</v>
      </c>
      <c r="Z447" t="s">
        <v>1084</v>
      </c>
      <c r="AA447" s="11" t="str">
        <f t="shared" si="6"/>
        <v>EXEC [dbo].[BalanceGeneralInsertar] @Nivel ='Subcuenta',@Transaccional ='No',@CodigoCuentaContable ='251010', @NombreCuentaContable ='Pasivo estimado para obligaciones laborales',@Identificacion ='',@Sucursal ='',@NombreTercero ='',@SaldoInicial = -3464474,@MovimientoDebito = 2994903,@MovimientoCredito =720380,@SaldoFinal = 720380,@Fecha ='20240630',@IdentificacionCliente = '901434038';</v>
      </c>
      <c r="AB447" t="s">
        <v>1085</v>
      </c>
    </row>
    <row r="448" spans="1:28" x14ac:dyDescent="0.25">
      <c r="A448" s="2" t="s">
        <v>28</v>
      </c>
      <c r="B448" s="2" t="s">
        <v>16</v>
      </c>
      <c r="C448" s="2" t="s">
        <v>479</v>
      </c>
      <c r="D448" s="2" t="s">
        <v>480</v>
      </c>
      <c r="E448" s="2"/>
      <c r="F448" s="2"/>
      <c r="G448" s="2"/>
      <c r="H448" s="3">
        <v>-2234110</v>
      </c>
      <c r="I448" s="3">
        <v>0</v>
      </c>
      <c r="J448" s="3">
        <v>360190</v>
      </c>
      <c r="K448" s="3">
        <v>-2594300</v>
      </c>
      <c r="L448" t="s">
        <v>1071</v>
      </c>
      <c r="M448" t="s">
        <v>1072</v>
      </c>
      <c r="N448" t="s">
        <v>1073</v>
      </c>
      <c r="O448" t="s">
        <v>1074</v>
      </c>
      <c r="P448" t="s">
        <v>1075</v>
      </c>
      <c r="Q448" t="s">
        <v>1076</v>
      </c>
      <c r="R448" t="s">
        <v>1077</v>
      </c>
      <c r="S448" t="s">
        <v>1078</v>
      </c>
      <c r="T448" t="s">
        <v>1079</v>
      </c>
      <c r="U448" t="s">
        <v>1080</v>
      </c>
      <c r="V448" t="s">
        <v>1081</v>
      </c>
      <c r="W448" t="s">
        <v>1082</v>
      </c>
      <c r="X448">
        <v>20240630</v>
      </c>
      <c r="Y448" t="s">
        <v>1083</v>
      </c>
      <c r="Z448" t="s">
        <v>1084</v>
      </c>
      <c r="AA448" s="11" t="str">
        <f t="shared" si="6"/>
        <v>EXEC [dbo].[BalanceGeneralInsertar] @Nivel ='Auxiliar',@Transaccional ='No',@CodigoCuentaContable ='25101001', @NombreCuentaContable ='Cesantías',@Identificacion ='',@Sucursal ='',@NombreTercero ='',@SaldoInicial = -2234110,@MovimientoDebito = 0,@MovimientoCredito =360190,@SaldoFinal = 360190,@Fecha ='20240630',@IdentificacionCliente = '901434038';</v>
      </c>
      <c r="AB448" t="s">
        <v>1085</v>
      </c>
    </row>
    <row r="449" spans="1:28" x14ac:dyDescent="0.25">
      <c r="A449" s="2" t="s">
        <v>481</v>
      </c>
      <c r="B449" s="2" t="s">
        <v>29</v>
      </c>
      <c r="C449" s="2" t="s">
        <v>482</v>
      </c>
      <c r="D449" s="2" t="s">
        <v>480</v>
      </c>
      <c r="E449" s="2" t="s">
        <v>119</v>
      </c>
      <c r="F449" s="2"/>
      <c r="G449" s="2" t="s">
        <v>120</v>
      </c>
      <c r="H449" s="3">
        <v>-1333635</v>
      </c>
      <c r="I449" s="3">
        <v>0</v>
      </c>
      <c r="J449" s="3">
        <v>180095</v>
      </c>
      <c r="K449" s="3">
        <v>-1513730</v>
      </c>
      <c r="L449" t="s">
        <v>1071</v>
      </c>
      <c r="M449" t="s">
        <v>1072</v>
      </c>
      <c r="N449" t="s">
        <v>1073</v>
      </c>
      <c r="O449" t="s">
        <v>1074</v>
      </c>
      <c r="P449" t="s">
        <v>1075</v>
      </c>
      <c r="Q449" t="s">
        <v>1076</v>
      </c>
      <c r="R449" t="s">
        <v>1077</v>
      </c>
      <c r="S449" t="s">
        <v>1078</v>
      </c>
      <c r="T449" t="s">
        <v>1079</v>
      </c>
      <c r="U449" t="s">
        <v>1080</v>
      </c>
      <c r="V449" t="s">
        <v>1081</v>
      </c>
      <c r="W449" t="s">
        <v>1082</v>
      </c>
      <c r="X449">
        <v>20240630</v>
      </c>
      <c r="Y449" t="s">
        <v>1083</v>
      </c>
      <c r="Z449" t="s">
        <v>1084</v>
      </c>
      <c r="AA449" s="11" t="str">
        <f t="shared" si="6"/>
        <v>EXEC [dbo].[BalanceGeneralInsertar] @Nivel ='Subauxiliar',@Transaccional ='Sí',@CodigoCuentaContable ='2510100101', @NombreCuentaContable ='Cesantías',@Identificacion ='80196373',@Sucursal ='',@NombreTercero ='JUAN FERNANDO DURAN LOPEZ',@SaldoInicial = -1333635,@MovimientoDebito = 0,@MovimientoCredito =180095,@SaldoFinal = 180095,@Fecha ='20240630',@IdentificacionCliente = '901434038';</v>
      </c>
      <c r="AB449" t="s">
        <v>1085</v>
      </c>
    </row>
    <row r="450" spans="1:28" x14ac:dyDescent="0.25">
      <c r="A450" s="2" t="s">
        <v>481</v>
      </c>
      <c r="B450" s="2" t="s">
        <v>29</v>
      </c>
      <c r="C450" s="2" t="s">
        <v>482</v>
      </c>
      <c r="D450" s="2" t="s">
        <v>480</v>
      </c>
      <c r="E450" s="2" t="s">
        <v>101</v>
      </c>
      <c r="F450" s="2"/>
      <c r="G450" s="2" t="s">
        <v>102</v>
      </c>
      <c r="H450" s="3">
        <v>-900475</v>
      </c>
      <c r="I450" s="3">
        <v>0</v>
      </c>
      <c r="J450" s="3">
        <v>180095</v>
      </c>
      <c r="K450" s="3">
        <v>-1080570</v>
      </c>
      <c r="L450" t="s">
        <v>1071</v>
      </c>
      <c r="M450" t="s">
        <v>1072</v>
      </c>
      <c r="N450" t="s">
        <v>1073</v>
      </c>
      <c r="O450" t="s">
        <v>1074</v>
      </c>
      <c r="P450" t="s">
        <v>1075</v>
      </c>
      <c r="Q450" t="s">
        <v>1076</v>
      </c>
      <c r="R450" t="s">
        <v>1077</v>
      </c>
      <c r="S450" t="s">
        <v>1078</v>
      </c>
      <c r="T450" t="s">
        <v>1079</v>
      </c>
      <c r="U450" t="s">
        <v>1080</v>
      </c>
      <c r="V450" t="s">
        <v>1081</v>
      </c>
      <c r="W450" t="s">
        <v>1082</v>
      </c>
      <c r="X450">
        <v>20240630</v>
      </c>
      <c r="Y450" t="s">
        <v>1083</v>
      </c>
      <c r="Z450" t="s">
        <v>1084</v>
      </c>
      <c r="AA450" s="11" t="str">
        <f t="shared" si="6"/>
        <v>EXEC [dbo].[BalanceGeneralInsertar] @Nivel ='Subauxiliar',@Transaccional ='Sí',@CodigoCuentaContable ='2510100101', @NombreCuentaContable ='Cesantías',@Identificacion ='31383821',@Sucursal ='',@NombreTercero ='PATRICIA LOPEZ',@SaldoInicial = -900475,@MovimientoDebito = 0,@MovimientoCredito =180095,@SaldoFinal = 180095,@Fecha ='20240630',@IdentificacionCliente = '901434038';</v>
      </c>
      <c r="AB450" t="s">
        <v>1085</v>
      </c>
    </row>
    <row r="451" spans="1:28" x14ac:dyDescent="0.25">
      <c r="A451" s="2" t="s">
        <v>28</v>
      </c>
      <c r="B451" s="2" t="s">
        <v>16</v>
      </c>
      <c r="C451" s="2" t="s">
        <v>483</v>
      </c>
      <c r="D451" s="2" t="s">
        <v>484</v>
      </c>
      <c r="E451" s="2"/>
      <c r="F451" s="2"/>
      <c r="G451" s="2"/>
      <c r="H451" s="3">
        <v>1003746</v>
      </c>
      <c r="I451" s="3">
        <v>0</v>
      </c>
      <c r="J451" s="3">
        <v>0</v>
      </c>
      <c r="K451" s="3">
        <v>1003746</v>
      </c>
      <c r="L451" t="s">
        <v>1071</v>
      </c>
      <c r="M451" t="s">
        <v>1072</v>
      </c>
      <c r="N451" t="s">
        <v>1073</v>
      </c>
      <c r="O451" t="s">
        <v>1074</v>
      </c>
      <c r="P451" t="s">
        <v>1075</v>
      </c>
      <c r="Q451" t="s">
        <v>1076</v>
      </c>
      <c r="R451" t="s">
        <v>1077</v>
      </c>
      <c r="S451" t="s">
        <v>1078</v>
      </c>
      <c r="T451" t="s">
        <v>1079</v>
      </c>
      <c r="U451" t="s">
        <v>1080</v>
      </c>
      <c r="V451" t="s">
        <v>1081</v>
      </c>
      <c r="W451" t="s">
        <v>1082</v>
      </c>
      <c r="X451">
        <v>20240630</v>
      </c>
      <c r="Y451" t="s">
        <v>1083</v>
      </c>
      <c r="Z451" t="s">
        <v>1084</v>
      </c>
      <c r="AA451" s="11" t="str">
        <f t="shared" si="6"/>
        <v>EXEC [dbo].[BalanceGeneralInsertar] @Nivel ='Auxiliar',@Transaccional ='No',@CodigoCuentaContable ='25101002', @NombreCuentaContable ='Intereses sobre cesantías',@Identificacion ='',@Sucursal ='',@NombreTercero ='',@SaldoInicial = 1003746,@MovimientoDebito = 0,@MovimientoCredito =0,@SaldoFinal = 0,@Fecha ='20240630',@IdentificacionCliente = '901434038';</v>
      </c>
      <c r="AB451" t="s">
        <v>1085</v>
      </c>
    </row>
    <row r="452" spans="1:28" x14ac:dyDescent="0.25">
      <c r="A452" s="2" t="s">
        <v>481</v>
      </c>
      <c r="B452" s="2" t="s">
        <v>29</v>
      </c>
      <c r="C452" s="2" t="s">
        <v>485</v>
      </c>
      <c r="D452" s="2" t="s">
        <v>484</v>
      </c>
      <c r="E452" s="2" t="s">
        <v>119</v>
      </c>
      <c r="F452" s="2"/>
      <c r="G452" s="2" t="s">
        <v>120</v>
      </c>
      <c r="H452" s="3">
        <v>746873</v>
      </c>
      <c r="I452" s="3">
        <v>0</v>
      </c>
      <c r="J452" s="3">
        <v>0</v>
      </c>
      <c r="K452" s="3">
        <v>746873</v>
      </c>
      <c r="L452" t="s">
        <v>1071</v>
      </c>
      <c r="M452" t="s">
        <v>1072</v>
      </c>
      <c r="N452" t="s">
        <v>1073</v>
      </c>
      <c r="O452" t="s">
        <v>1074</v>
      </c>
      <c r="P452" t="s">
        <v>1075</v>
      </c>
      <c r="Q452" t="s">
        <v>1076</v>
      </c>
      <c r="R452" t="s">
        <v>1077</v>
      </c>
      <c r="S452" t="s">
        <v>1078</v>
      </c>
      <c r="T452" t="s">
        <v>1079</v>
      </c>
      <c r="U452" t="s">
        <v>1080</v>
      </c>
      <c r="V452" t="s">
        <v>1081</v>
      </c>
      <c r="W452" t="s">
        <v>1082</v>
      </c>
      <c r="X452">
        <v>20240630</v>
      </c>
      <c r="Y452" t="s">
        <v>1083</v>
      </c>
      <c r="Z452" t="s">
        <v>1084</v>
      </c>
      <c r="AA452" s="11" t="str">
        <f t="shared" si="6"/>
        <v>EXEC [dbo].[BalanceGeneralInsertar] @Nivel ='Subauxiliar',@Transaccional ='Sí',@CodigoCuentaContable ='2510100201', @NombreCuentaContable ='Intereses sobre cesantías',@Identificacion ='80196373',@Sucursal ='',@NombreTercero ='JUAN FERNANDO DURAN LOPEZ',@SaldoInicial = 746873,@MovimientoDebito = 0,@MovimientoCredito =0,@SaldoFinal = 0,@Fecha ='20240630',@IdentificacionCliente = '901434038';</v>
      </c>
      <c r="AB452" t="s">
        <v>1085</v>
      </c>
    </row>
    <row r="453" spans="1:28" x14ac:dyDescent="0.25">
      <c r="A453" s="2" t="s">
        <v>481</v>
      </c>
      <c r="B453" s="2" t="s">
        <v>29</v>
      </c>
      <c r="C453" s="2" t="s">
        <v>485</v>
      </c>
      <c r="D453" s="2" t="s">
        <v>484</v>
      </c>
      <c r="E453" s="2" t="s">
        <v>101</v>
      </c>
      <c r="F453" s="2"/>
      <c r="G453" s="2" t="s">
        <v>102</v>
      </c>
      <c r="H453" s="3">
        <v>256873</v>
      </c>
      <c r="I453" s="3">
        <v>0</v>
      </c>
      <c r="J453" s="3">
        <v>0</v>
      </c>
      <c r="K453" s="3">
        <v>256873</v>
      </c>
      <c r="L453" t="s">
        <v>1071</v>
      </c>
      <c r="M453" t="s">
        <v>1072</v>
      </c>
      <c r="N453" t="s">
        <v>1073</v>
      </c>
      <c r="O453" t="s">
        <v>1074</v>
      </c>
      <c r="P453" t="s">
        <v>1075</v>
      </c>
      <c r="Q453" t="s">
        <v>1076</v>
      </c>
      <c r="R453" t="s">
        <v>1077</v>
      </c>
      <c r="S453" t="s">
        <v>1078</v>
      </c>
      <c r="T453" t="s">
        <v>1079</v>
      </c>
      <c r="U453" t="s">
        <v>1080</v>
      </c>
      <c r="V453" t="s">
        <v>1081</v>
      </c>
      <c r="W453" t="s">
        <v>1082</v>
      </c>
      <c r="X453">
        <v>20240630</v>
      </c>
      <c r="Y453" t="s">
        <v>1083</v>
      </c>
      <c r="Z453" t="s">
        <v>1084</v>
      </c>
      <c r="AA453" s="11" t="str">
        <f t="shared" si="6"/>
        <v>EXEC [dbo].[BalanceGeneralInsertar] @Nivel ='Subauxiliar',@Transaccional ='Sí',@CodigoCuentaContable ='2510100201', @NombreCuentaContable ='Intereses sobre cesantías',@Identificacion ='31383821',@Sucursal ='',@NombreTercero ='PATRICIA LOPEZ',@SaldoInicial = 256873,@MovimientoDebito = 0,@MovimientoCredito =0,@SaldoFinal = 0,@Fecha ='20240630',@IdentificacionCliente = '901434038';</v>
      </c>
      <c r="AB453" t="s">
        <v>1085</v>
      </c>
    </row>
    <row r="454" spans="1:28" x14ac:dyDescent="0.25">
      <c r="A454" s="2" t="s">
        <v>28</v>
      </c>
      <c r="B454" s="2" t="s">
        <v>16</v>
      </c>
      <c r="C454" s="2" t="s">
        <v>486</v>
      </c>
      <c r="D454" s="2" t="s">
        <v>487</v>
      </c>
      <c r="E454" s="2"/>
      <c r="F454" s="2"/>
      <c r="G454" s="2"/>
      <c r="H454" s="3">
        <v>-2234110</v>
      </c>
      <c r="I454" s="3">
        <v>2994903</v>
      </c>
      <c r="J454" s="3">
        <v>360190</v>
      </c>
      <c r="K454" s="3">
        <v>400603</v>
      </c>
      <c r="L454" t="s">
        <v>1071</v>
      </c>
      <c r="M454" t="s">
        <v>1072</v>
      </c>
      <c r="N454" t="s">
        <v>1073</v>
      </c>
      <c r="O454" t="s">
        <v>1074</v>
      </c>
      <c r="P454" t="s">
        <v>1075</v>
      </c>
      <c r="Q454" t="s">
        <v>1076</v>
      </c>
      <c r="R454" t="s">
        <v>1077</v>
      </c>
      <c r="S454" t="s">
        <v>1078</v>
      </c>
      <c r="T454" t="s">
        <v>1079</v>
      </c>
      <c r="U454" t="s">
        <v>1080</v>
      </c>
      <c r="V454" t="s">
        <v>1081</v>
      </c>
      <c r="W454" t="s">
        <v>1082</v>
      </c>
      <c r="X454">
        <v>20240630</v>
      </c>
      <c r="Y454" t="s">
        <v>1083</v>
      </c>
      <c r="Z454" t="s">
        <v>1084</v>
      </c>
      <c r="AA454" s="11" t="str">
        <f t="shared" si="6"/>
        <v>EXEC [dbo].[BalanceGeneralInsertar] @Nivel ='Auxiliar',@Transaccional ='No',@CodigoCuentaContable ='25101004', @NombreCuentaContable ='Prima de servicios',@Identificacion ='',@Sucursal ='',@NombreTercero ='',@SaldoInicial = -2234110,@MovimientoDebito = 2994903,@MovimientoCredito =360190,@SaldoFinal = 360190,@Fecha ='20240630',@IdentificacionCliente = '901434038';</v>
      </c>
      <c r="AB454" t="s">
        <v>1085</v>
      </c>
    </row>
    <row r="455" spans="1:28" x14ac:dyDescent="0.25">
      <c r="A455" s="2" t="s">
        <v>481</v>
      </c>
      <c r="B455" s="2" t="s">
        <v>29</v>
      </c>
      <c r="C455" s="2" t="s">
        <v>488</v>
      </c>
      <c r="D455" s="2" t="s">
        <v>487</v>
      </c>
      <c r="E455" s="2" t="s">
        <v>119</v>
      </c>
      <c r="F455" s="2"/>
      <c r="G455" s="2" t="s">
        <v>120</v>
      </c>
      <c r="H455" s="3">
        <v>-1333635</v>
      </c>
      <c r="I455" s="3">
        <v>1914333</v>
      </c>
      <c r="J455" s="3">
        <v>180095</v>
      </c>
      <c r="K455" s="3">
        <v>400603</v>
      </c>
      <c r="L455" t="s">
        <v>1071</v>
      </c>
      <c r="M455" t="s">
        <v>1072</v>
      </c>
      <c r="N455" t="s">
        <v>1073</v>
      </c>
      <c r="O455" t="s">
        <v>1074</v>
      </c>
      <c r="P455" t="s">
        <v>1075</v>
      </c>
      <c r="Q455" t="s">
        <v>1076</v>
      </c>
      <c r="R455" t="s">
        <v>1077</v>
      </c>
      <c r="S455" t="s">
        <v>1078</v>
      </c>
      <c r="T455" t="s">
        <v>1079</v>
      </c>
      <c r="U455" t="s">
        <v>1080</v>
      </c>
      <c r="V455" t="s">
        <v>1081</v>
      </c>
      <c r="W455" t="s">
        <v>1082</v>
      </c>
      <c r="X455">
        <v>20240630</v>
      </c>
      <c r="Y455" t="s">
        <v>1083</v>
      </c>
      <c r="Z455" t="s">
        <v>1084</v>
      </c>
      <c r="AA455" s="11" t="str">
        <f t="shared" si="6"/>
        <v>EXEC [dbo].[BalanceGeneralInsertar] @Nivel ='Subauxiliar',@Transaccional ='Sí',@CodigoCuentaContable ='2510100401', @NombreCuentaContable ='Prima de servicios',@Identificacion ='80196373',@Sucursal ='',@NombreTercero ='JUAN FERNANDO DURAN LOPEZ',@SaldoInicial = -1333635,@MovimientoDebito = 1914333,@MovimientoCredito =180095,@SaldoFinal = 180095,@Fecha ='20240630',@IdentificacionCliente = '901434038';</v>
      </c>
      <c r="AB455" t="s">
        <v>1085</v>
      </c>
    </row>
    <row r="456" spans="1:28" x14ac:dyDescent="0.25">
      <c r="A456" s="2" t="s">
        <v>481</v>
      </c>
      <c r="B456" s="2" t="s">
        <v>29</v>
      </c>
      <c r="C456" s="2" t="s">
        <v>488</v>
      </c>
      <c r="D456" s="2" t="s">
        <v>487</v>
      </c>
      <c r="E456" s="2" t="s">
        <v>101</v>
      </c>
      <c r="F456" s="2"/>
      <c r="G456" s="2" t="s">
        <v>102</v>
      </c>
      <c r="H456" s="3">
        <v>-900475</v>
      </c>
      <c r="I456" s="3">
        <v>1080570</v>
      </c>
      <c r="J456" s="3">
        <v>180095</v>
      </c>
      <c r="K456" s="3">
        <v>0</v>
      </c>
      <c r="L456" t="s">
        <v>1071</v>
      </c>
      <c r="M456" t="s">
        <v>1072</v>
      </c>
      <c r="N456" t="s">
        <v>1073</v>
      </c>
      <c r="O456" t="s">
        <v>1074</v>
      </c>
      <c r="P456" t="s">
        <v>1075</v>
      </c>
      <c r="Q456" t="s">
        <v>1076</v>
      </c>
      <c r="R456" t="s">
        <v>1077</v>
      </c>
      <c r="S456" t="s">
        <v>1078</v>
      </c>
      <c r="T456" t="s">
        <v>1079</v>
      </c>
      <c r="U456" t="s">
        <v>1080</v>
      </c>
      <c r="V456" t="s">
        <v>1081</v>
      </c>
      <c r="W456" t="s">
        <v>1082</v>
      </c>
      <c r="X456">
        <v>20240630</v>
      </c>
      <c r="Y456" t="s">
        <v>1083</v>
      </c>
      <c r="Z456" t="s">
        <v>1084</v>
      </c>
      <c r="AA456" s="11" t="str">
        <f t="shared" si="6"/>
        <v>EXEC [dbo].[BalanceGeneralInsertar] @Nivel ='Subauxiliar',@Transaccional ='Sí',@CodigoCuentaContable ='2510100401', @NombreCuentaContable ='Prima de servicios',@Identificacion ='31383821',@Sucursal ='',@NombreTercero ='PATRICIA LOPEZ',@SaldoInicial = -900475,@MovimientoDebito = 1080570,@MovimientoCredito =180095,@SaldoFinal = 180095,@Fecha ='20240630',@IdentificacionCliente = '901434038';</v>
      </c>
      <c r="AB456" t="s">
        <v>1085</v>
      </c>
    </row>
    <row r="457" spans="1:28" x14ac:dyDescent="0.25">
      <c r="A457" s="2" t="s">
        <v>22</v>
      </c>
      <c r="B457" s="2" t="s">
        <v>16</v>
      </c>
      <c r="C457" s="2" t="s">
        <v>489</v>
      </c>
      <c r="D457" s="2" t="s">
        <v>484</v>
      </c>
      <c r="E457" s="2"/>
      <c r="F457" s="2"/>
      <c r="G457" s="2"/>
      <c r="H457" s="3">
        <v>-1272032</v>
      </c>
      <c r="I457" s="3">
        <v>0</v>
      </c>
      <c r="J457" s="3">
        <v>43222</v>
      </c>
      <c r="K457" s="3">
        <v>-1315254</v>
      </c>
      <c r="L457" t="s">
        <v>1071</v>
      </c>
      <c r="M457" t="s">
        <v>1072</v>
      </c>
      <c r="N457" t="s">
        <v>1073</v>
      </c>
      <c r="O457" t="s">
        <v>1074</v>
      </c>
      <c r="P457" t="s">
        <v>1075</v>
      </c>
      <c r="Q457" t="s">
        <v>1076</v>
      </c>
      <c r="R457" t="s">
        <v>1077</v>
      </c>
      <c r="S457" t="s">
        <v>1078</v>
      </c>
      <c r="T457" t="s">
        <v>1079</v>
      </c>
      <c r="U457" t="s">
        <v>1080</v>
      </c>
      <c r="V457" t="s">
        <v>1081</v>
      </c>
      <c r="W457" t="s">
        <v>1082</v>
      </c>
      <c r="X457">
        <v>20240630</v>
      </c>
      <c r="Y457" t="s">
        <v>1083</v>
      </c>
      <c r="Z457" t="s">
        <v>1084</v>
      </c>
      <c r="AA457" s="11" t="str">
        <f t="shared" si="6"/>
        <v>EXEC [dbo].[BalanceGeneralInsertar] @Nivel ='Cuenta',@Transaccional ='No',@CodigoCuentaContable ='2515', @NombreCuentaContable ='Intereses sobre cesantías',@Identificacion ='',@Sucursal ='',@NombreTercero ='',@SaldoInicial = -1272032,@MovimientoDebito = 0,@MovimientoCredito =43222,@SaldoFinal = 43222,@Fecha ='20240630',@IdentificacionCliente = '901434038';</v>
      </c>
      <c r="AB457" t="s">
        <v>1085</v>
      </c>
    </row>
    <row r="458" spans="1:28" x14ac:dyDescent="0.25">
      <c r="A458" s="2" t="s">
        <v>25</v>
      </c>
      <c r="B458" s="2" t="s">
        <v>29</v>
      </c>
      <c r="C458" s="2" t="s">
        <v>490</v>
      </c>
      <c r="D458" s="2" t="s">
        <v>484</v>
      </c>
      <c r="E458" s="2" t="s">
        <v>119</v>
      </c>
      <c r="F458" s="2"/>
      <c r="G458" s="2" t="s">
        <v>120</v>
      </c>
      <c r="H458" s="3">
        <v>-906908</v>
      </c>
      <c r="I458" s="3">
        <v>0</v>
      </c>
      <c r="J458" s="3">
        <v>21611</v>
      </c>
      <c r="K458" s="3">
        <v>-928519</v>
      </c>
      <c r="L458" t="s">
        <v>1071</v>
      </c>
      <c r="M458" t="s">
        <v>1072</v>
      </c>
      <c r="N458" t="s">
        <v>1073</v>
      </c>
      <c r="O458" t="s">
        <v>1074</v>
      </c>
      <c r="P458" t="s">
        <v>1075</v>
      </c>
      <c r="Q458" t="s">
        <v>1076</v>
      </c>
      <c r="R458" t="s">
        <v>1077</v>
      </c>
      <c r="S458" t="s">
        <v>1078</v>
      </c>
      <c r="T458" t="s">
        <v>1079</v>
      </c>
      <c r="U458" t="s">
        <v>1080</v>
      </c>
      <c r="V458" t="s">
        <v>1081</v>
      </c>
      <c r="W458" t="s">
        <v>1082</v>
      </c>
      <c r="X458">
        <v>20240630</v>
      </c>
      <c r="Y458" t="s">
        <v>1083</v>
      </c>
      <c r="Z458" t="s">
        <v>1084</v>
      </c>
      <c r="AA458" s="11" t="str">
        <f t="shared" ref="AA458:AA521" si="7">_xlfn.CONCAT(L458,Y458,A458,Y458,Z458,M458,Y458,B458,Y458,Z458,N458,Y458,C458,Y458,Z458,AB458,Y458,D458,Y458,Z458,O458,Y458,E458,Y458,Z458,P458,Y458,F458,Y458,Z458,Q458,Y458,G458,Y458,Z458,R458,H458,Z458,S458,I458,Z458,T458,J458,Z458,U458,J458,Z458,V458,Y458,X458,Y458,Z458,W458,Y458,"901434038",Y458,";")</f>
        <v>EXEC [dbo].[BalanceGeneralInsertar] @Nivel ='Subcuenta',@Transaccional ='Sí',@CodigoCuentaContable ='251501', @NombreCuentaContable ='Intereses sobre cesantías',@Identificacion ='80196373',@Sucursal ='',@NombreTercero ='JUAN FERNANDO DURAN LOPEZ',@SaldoInicial = -906908,@MovimientoDebito = 0,@MovimientoCredito =21611,@SaldoFinal = 21611,@Fecha ='20240630',@IdentificacionCliente = '901434038';</v>
      </c>
      <c r="AB458" t="s">
        <v>1085</v>
      </c>
    </row>
    <row r="459" spans="1:28" x14ac:dyDescent="0.25">
      <c r="A459" s="2" t="s">
        <v>25</v>
      </c>
      <c r="B459" s="2" t="s">
        <v>29</v>
      </c>
      <c r="C459" s="2" t="s">
        <v>490</v>
      </c>
      <c r="D459" s="2" t="s">
        <v>484</v>
      </c>
      <c r="E459" s="2" t="s">
        <v>101</v>
      </c>
      <c r="F459" s="2"/>
      <c r="G459" s="2" t="s">
        <v>102</v>
      </c>
      <c r="H459" s="3">
        <v>-365124</v>
      </c>
      <c r="I459" s="3">
        <v>0</v>
      </c>
      <c r="J459" s="3">
        <v>21611</v>
      </c>
      <c r="K459" s="3">
        <v>-386735</v>
      </c>
      <c r="L459" t="s">
        <v>1071</v>
      </c>
      <c r="M459" t="s">
        <v>1072</v>
      </c>
      <c r="N459" t="s">
        <v>1073</v>
      </c>
      <c r="O459" t="s">
        <v>1074</v>
      </c>
      <c r="P459" t="s">
        <v>1075</v>
      </c>
      <c r="Q459" t="s">
        <v>1076</v>
      </c>
      <c r="R459" t="s">
        <v>1077</v>
      </c>
      <c r="S459" t="s">
        <v>1078</v>
      </c>
      <c r="T459" t="s">
        <v>1079</v>
      </c>
      <c r="U459" t="s">
        <v>1080</v>
      </c>
      <c r="V459" t="s">
        <v>1081</v>
      </c>
      <c r="W459" t="s">
        <v>1082</v>
      </c>
      <c r="X459">
        <v>20240630</v>
      </c>
      <c r="Y459" t="s">
        <v>1083</v>
      </c>
      <c r="Z459" t="s">
        <v>1084</v>
      </c>
      <c r="AA459" s="11" t="str">
        <f t="shared" si="7"/>
        <v>EXEC [dbo].[BalanceGeneralInsertar] @Nivel ='Subcuenta',@Transaccional ='Sí',@CodigoCuentaContable ='251501', @NombreCuentaContable ='Intereses sobre cesantías',@Identificacion ='31383821',@Sucursal ='',@NombreTercero ='PATRICIA LOPEZ',@SaldoInicial = -365124,@MovimientoDebito = 0,@MovimientoCredito =21611,@SaldoFinal = 21611,@Fecha ='20240630',@IdentificacionCliente = '901434038';</v>
      </c>
      <c r="AB459" t="s">
        <v>1085</v>
      </c>
    </row>
    <row r="460" spans="1:28" x14ac:dyDescent="0.25">
      <c r="A460" s="2" t="s">
        <v>22</v>
      </c>
      <c r="B460" s="2" t="s">
        <v>16</v>
      </c>
      <c r="C460" s="2" t="s">
        <v>491</v>
      </c>
      <c r="D460" s="2" t="s">
        <v>492</v>
      </c>
      <c r="E460" s="2"/>
      <c r="F460" s="2"/>
      <c r="G460" s="2"/>
      <c r="H460" s="3">
        <v>-6554581</v>
      </c>
      <c r="I460" s="3">
        <v>0</v>
      </c>
      <c r="J460" s="3">
        <v>166800</v>
      </c>
      <c r="K460" s="3">
        <v>-6721381</v>
      </c>
      <c r="L460" t="s">
        <v>1071</v>
      </c>
      <c r="M460" t="s">
        <v>1072</v>
      </c>
      <c r="N460" t="s">
        <v>1073</v>
      </c>
      <c r="O460" t="s">
        <v>1074</v>
      </c>
      <c r="P460" t="s">
        <v>1075</v>
      </c>
      <c r="Q460" t="s">
        <v>1076</v>
      </c>
      <c r="R460" t="s">
        <v>1077</v>
      </c>
      <c r="S460" t="s">
        <v>1078</v>
      </c>
      <c r="T460" t="s">
        <v>1079</v>
      </c>
      <c r="U460" t="s">
        <v>1080</v>
      </c>
      <c r="V460" t="s">
        <v>1081</v>
      </c>
      <c r="W460" t="s">
        <v>1082</v>
      </c>
      <c r="X460">
        <v>20240630</v>
      </c>
      <c r="Y460" t="s">
        <v>1083</v>
      </c>
      <c r="Z460" t="s">
        <v>1084</v>
      </c>
      <c r="AA460" s="11" t="str">
        <f t="shared" si="7"/>
        <v>EXEC [dbo].[BalanceGeneralInsertar] @Nivel ='Cuenta',@Transaccional ='No',@CodigoCuentaContable ='2525', @NombreCuentaContable ='Vacaciones consolidadas',@Identificacion ='',@Sucursal ='',@NombreTercero ='',@SaldoInicial = -6554581,@MovimientoDebito = 0,@MovimientoCredito =166800,@SaldoFinal = 166800,@Fecha ='20240630',@IdentificacionCliente = '901434038';</v>
      </c>
      <c r="AB460" t="s">
        <v>1085</v>
      </c>
    </row>
    <row r="461" spans="1:28" x14ac:dyDescent="0.25">
      <c r="A461" s="2" t="s">
        <v>25</v>
      </c>
      <c r="B461" s="2" t="s">
        <v>29</v>
      </c>
      <c r="C461" s="2" t="s">
        <v>493</v>
      </c>
      <c r="D461" s="2" t="s">
        <v>492</v>
      </c>
      <c r="E461" s="2" t="s">
        <v>119</v>
      </c>
      <c r="F461" s="2"/>
      <c r="G461" s="2" t="s">
        <v>120</v>
      </c>
      <c r="H461" s="3">
        <v>-4469581</v>
      </c>
      <c r="I461" s="3">
        <v>0</v>
      </c>
      <c r="J461" s="3">
        <v>83400</v>
      </c>
      <c r="K461" s="3">
        <v>-4552981</v>
      </c>
      <c r="L461" t="s">
        <v>1071</v>
      </c>
      <c r="M461" t="s">
        <v>1072</v>
      </c>
      <c r="N461" t="s">
        <v>1073</v>
      </c>
      <c r="O461" t="s">
        <v>1074</v>
      </c>
      <c r="P461" t="s">
        <v>1075</v>
      </c>
      <c r="Q461" t="s">
        <v>1076</v>
      </c>
      <c r="R461" t="s">
        <v>1077</v>
      </c>
      <c r="S461" t="s">
        <v>1078</v>
      </c>
      <c r="T461" t="s">
        <v>1079</v>
      </c>
      <c r="U461" t="s">
        <v>1080</v>
      </c>
      <c r="V461" t="s">
        <v>1081</v>
      </c>
      <c r="W461" t="s">
        <v>1082</v>
      </c>
      <c r="X461">
        <v>20240630</v>
      </c>
      <c r="Y461" t="s">
        <v>1083</v>
      </c>
      <c r="Z461" t="s">
        <v>1084</v>
      </c>
      <c r="AA461" s="11" t="str">
        <f t="shared" si="7"/>
        <v>EXEC [dbo].[BalanceGeneralInsertar] @Nivel ='Subcuenta',@Transaccional ='Sí',@CodigoCuentaContable ='252501', @NombreCuentaContable ='Vacaciones consolidadas',@Identificacion ='80196373',@Sucursal ='',@NombreTercero ='JUAN FERNANDO DURAN LOPEZ',@SaldoInicial = -4469581,@MovimientoDebito = 0,@MovimientoCredito =83400,@SaldoFinal = 83400,@Fecha ='20240630',@IdentificacionCliente = '901434038';</v>
      </c>
      <c r="AB461" t="s">
        <v>1085</v>
      </c>
    </row>
    <row r="462" spans="1:28" x14ac:dyDescent="0.25">
      <c r="A462" s="2" t="s">
        <v>25</v>
      </c>
      <c r="B462" s="2" t="s">
        <v>29</v>
      </c>
      <c r="C462" s="2" t="s">
        <v>493</v>
      </c>
      <c r="D462" s="2" t="s">
        <v>492</v>
      </c>
      <c r="E462" s="2" t="s">
        <v>101</v>
      </c>
      <c r="F462" s="2"/>
      <c r="G462" s="2" t="s">
        <v>102</v>
      </c>
      <c r="H462" s="3">
        <v>-2085000</v>
      </c>
      <c r="I462" s="3">
        <v>0</v>
      </c>
      <c r="J462" s="3">
        <v>83400</v>
      </c>
      <c r="K462" s="3">
        <v>-2168400</v>
      </c>
      <c r="L462" t="s">
        <v>1071</v>
      </c>
      <c r="M462" t="s">
        <v>1072</v>
      </c>
      <c r="N462" t="s">
        <v>1073</v>
      </c>
      <c r="O462" t="s">
        <v>1074</v>
      </c>
      <c r="P462" t="s">
        <v>1075</v>
      </c>
      <c r="Q462" t="s">
        <v>1076</v>
      </c>
      <c r="R462" t="s">
        <v>1077</v>
      </c>
      <c r="S462" t="s">
        <v>1078</v>
      </c>
      <c r="T462" t="s">
        <v>1079</v>
      </c>
      <c r="U462" t="s">
        <v>1080</v>
      </c>
      <c r="V462" t="s">
        <v>1081</v>
      </c>
      <c r="W462" t="s">
        <v>1082</v>
      </c>
      <c r="X462">
        <v>20240630</v>
      </c>
      <c r="Y462" t="s">
        <v>1083</v>
      </c>
      <c r="Z462" t="s">
        <v>1084</v>
      </c>
      <c r="AA462" s="11" t="str">
        <f t="shared" si="7"/>
        <v>EXEC [dbo].[BalanceGeneralInsertar] @Nivel ='Subcuenta',@Transaccional ='Sí',@CodigoCuentaContable ='252501', @NombreCuentaContable ='Vacaciones consolidadas',@Identificacion ='31383821',@Sucursal ='',@NombreTercero ='PATRICIA LOPEZ',@SaldoInicial = -2085000,@MovimientoDebito = 0,@MovimientoCredito =83400,@SaldoFinal = 83400,@Fecha ='20240630',@IdentificacionCliente = '901434038';</v>
      </c>
      <c r="AB462" t="s">
        <v>1085</v>
      </c>
    </row>
    <row r="463" spans="1:28" x14ac:dyDescent="0.25">
      <c r="A463" s="2" t="s">
        <v>19</v>
      </c>
      <c r="B463" s="2" t="s">
        <v>16</v>
      </c>
      <c r="C463" s="2" t="s">
        <v>494</v>
      </c>
      <c r="D463" s="2" t="s">
        <v>495</v>
      </c>
      <c r="E463" s="2"/>
      <c r="F463" s="2"/>
      <c r="G463" s="2"/>
      <c r="H463" s="3" t="s">
        <v>984</v>
      </c>
      <c r="I463" s="3">
        <v>0</v>
      </c>
      <c r="J463" s="3">
        <v>0</v>
      </c>
      <c r="K463" s="3" t="s">
        <v>984</v>
      </c>
      <c r="L463" t="s">
        <v>1071</v>
      </c>
      <c r="M463" t="s">
        <v>1072</v>
      </c>
      <c r="N463" t="s">
        <v>1073</v>
      </c>
      <c r="O463" t="s">
        <v>1074</v>
      </c>
      <c r="P463" t="s">
        <v>1075</v>
      </c>
      <c r="Q463" t="s">
        <v>1076</v>
      </c>
      <c r="R463" t="s">
        <v>1077</v>
      </c>
      <c r="S463" t="s">
        <v>1078</v>
      </c>
      <c r="T463" t="s">
        <v>1079</v>
      </c>
      <c r="U463" t="s">
        <v>1080</v>
      </c>
      <c r="V463" t="s">
        <v>1081</v>
      </c>
      <c r="W463" t="s">
        <v>1082</v>
      </c>
      <c r="X463">
        <v>20240630</v>
      </c>
      <c r="Y463" t="s">
        <v>1083</v>
      </c>
      <c r="Z463" t="s">
        <v>1084</v>
      </c>
      <c r="AA463" s="11" t="str">
        <f t="shared" si="7"/>
        <v>EXEC [dbo].[BalanceGeneralInsertar] @Nivel ='Grupo',@Transaccional ='No',@CodigoCuentaContable ='28', @NombreCuentaContable ='Pasivos no financieros',@Identificacion ='',@Sucursal ='',@NombreTercero ='',@SaldoInicial = -6735366.37,@MovimientoDebito = 0,@MovimientoCredito =0,@SaldoFinal = 0,@Fecha ='20240630',@IdentificacionCliente = '901434038';</v>
      </c>
      <c r="AB463" t="s">
        <v>1085</v>
      </c>
    </row>
    <row r="464" spans="1:28" x14ac:dyDescent="0.25">
      <c r="A464" s="2" t="s">
        <v>22</v>
      </c>
      <c r="B464" s="2" t="s">
        <v>16</v>
      </c>
      <c r="C464" s="2" t="s">
        <v>496</v>
      </c>
      <c r="D464" s="2" t="s">
        <v>497</v>
      </c>
      <c r="E464" s="2"/>
      <c r="F464" s="2"/>
      <c r="G464" s="2"/>
      <c r="H464" s="3" t="s">
        <v>984</v>
      </c>
      <c r="I464" s="3">
        <v>0</v>
      </c>
      <c r="J464" s="3">
        <v>0</v>
      </c>
      <c r="K464" s="3" t="s">
        <v>984</v>
      </c>
      <c r="L464" t="s">
        <v>1071</v>
      </c>
      <c r="M464" t="s">
        <v>1072</v>
      </c>
      <c r="N464" t="s">
        <v>1073</v>
      </c>
      <c r="O464" t="s">
        <v>1074</v>
      </c>
      <c r="P464" t="s">
        <v>1075</v>
      </c>
      <c r="Q464" t="s">
        <v>1076</v>
      </c>
      <c r="R464" t="s">
        <v>1077</v>
      </c>
      <c r="S464" t="s">
        <v>1078</v>
      </c>
      <c r="T464" t="s">
        <v>1079</v>
      </c>
      <c r="U464" t="s">
        <v>1080</v>
      </c>
      <c r="V464" t="s">
        <v>1081</v>
      </c>
      <c r="W464" t="s">
        <v>1082</v>
      </c>
      <c r="X464">
        <v>20240630</v>
      </c>
      <c r="Y464" t="s">
        <v>1083</v>
      </c>
      <c r="Z464" t="s">
        <v>1084</v>
      </c>
      <c r="AA464" s="11" t="str">
        <f t="shared" si="7"/>
        <v>EXEC [dbo].[BalanceGeneralInsertar] @Nivel ='Cuenta',@Transaccional ='No',@CodigoCuentaContable ='2805', @NombreCuentaContable ='Anticipos y avances recibidos',@Identificacion ='',@Sucursal ='',@NombreTercero ='',@SaldoInicial = -6735366.37,@MovimientoDebito = 0,@MovimientoCredito =0,@SaldoFinal = 0,@Fecha ='20240630',@IdentificacionCliente = '901434038';</v>
      </c>
      <c r="AB464" t="s">
        <v>1085</v>
      </c>
    </row>
    <row r="465" spans="1:28" x14ac:dyDescent="0.25">
      <c r="A465" s="2" t="s">
        <v>25</v>
      </c>
      <c r="B465" s="2" t="s">
        <v>16</v>
      </c>
      <c r="C465" s="2" t="s">
        <v>498</v>
      </c>
      <c r="D465" s="2" t="s">
        <v>499</v>
      </c>
      <c r="E465" s="2"/>
      <c r="F465" s="2"/>
      <c r="G465" s="2"/>
      <c r="H465" s="3" t="s">
        <v>984</v>
      </c>
      <c r="I465" s="3">
        <v>0</v>
      </c>
      <c r="J465" s="3">
        <v>0</v>
      </c>
      <c r="K465" s="3" t="s">
        <v>984</v>
      </c>
      <c r="L465" t="s">
        <v>1071</v>
      </c>
      <c r="M465" t="s">
        <v>1072</v>
      </c>
      <c r="N465" t="s">
        <v>1073</v>
      </c>
      <c r="O465" t="s">
        <v>1074</v>
      </c>
      <c r="P465" t="s">
        <v>1075</v>
      </c>
      <c r="Q465" t="s">
        <v>1076</v>
      </c>
      <c r="R465" t="s">
        <v>1077</v>
      </c>
      <c r="S465" t="s">
        <v>1078</v>
      </c>
      <c r="T465" t="s">
        <v>1079</v>
      </c>
      <c r="U465" t="s">
        <v>1080</v>
      </c>
      <c r="V465" t="s">
        <v>1081</v>
      </c>
      <c r="W465" t="s">
        <v>1082</v>
      </c>
      <c r="X465">
        <v>20240630</v>
      </c>
      <c r="Y465" t="s">
        <v>1083</v>
      </c>
      <c r="Z465" t="s">
        <v>1084</v>
      </c>
      <c r="AA465" s="11" t="str">
        <f t="shared" si="7"/>
        <v>EXEC [dbo].[BalanceGeneralInsertar] @Nivel ='Subcuenta',@Transaccional ='No',@CodigoCuentaContable ='280505', @NombreCuentaContable ='De clientes',@Identificacion ='',@Sucursal ='',@NombreTercero ='',@SaldoInicial = -6735366.37,@MovimientoDebito = 0,@MovimientoCredito =0,@SaldoFinal = 0,@Fecha ='20240630',@IdentificacionCliente = '901434038';</v>
      </c>
      <c r="AB465" t="s">
        <v>1085</v>
      </c>
    </row>
    <row r="466" spans="1:28" x14ac:dyDescent="0.25">
      <c r="A466" s="2" t="s">
        <v>28</v>
      </c>
      <c r="B466" s="2" t="s">
        <v>29</v>
      </c>
      <c r="C466" s="2" t="s">
        <v>500</v>
      </c>
      <c r="D466" s="2" t="s">
        <v>499</v>
      </c>
      <c r="E466" s="2" t="s">
        <v>103</v>
      </c>
      <c r="F466" s="2"/>
      <c r="G466" s="2" t="s">
        <v>104</v>
      </c>
      <c r="H466" s="3">
        <v>-521800</v>
      </c>
      <c r="I466" s="3">
        <v>0</v>
      </c>
      <c r="J466" s="3">
        <v>0</v>
      </c>
      <c r="K466" s="3">
        <v>-521800</v>
      </c>
      <c r="L466" t="s">
        <v>1071</v>
      </c>
      <c r="M466" t="s">
        <v>1072</v>
      </c>
      <c r="N466" t="s">
        <v>1073</v>
      </c>
      <c r="O466" t="s">
        <v>1074</v>
      </c>
      <c r="P466" t="s">
        <v>1075</v>
      </c>
      <c r="Q466" t="s">
        <v>1076</v>
      </c>
      <c r="R466" t="s">
        <v>1077</v>
      </c>
      <c r="S466" t="s">
        <v>1078</v>
      </c>
      <c r="T466" t="s">
        <v>1079</v>
      </c>
      <c r="U466" t="s">
        <v>1080</v>
      </c>
      <c r="V466" t="s">
        <v>1081</v>
      </c>
      <c r="W466" t="s">
        <v>1082</v>
      </c>
      <c r="X466">
        <v>20240630</v>
      </c>
      <c r="Y466" t="s">
        <v>1083</v>
      </c>
      <c r="Z466" t="s">
        <v>1084</v>
      </c>
      <c r="AA466" s="11" t="str">
        <f t="shared" si="7"/>
        <v>EXEC [dbo].[BalanceGeneralInsertar] @Nivel ='Auxiliar',@Transaccional ='Sí',@CodigoCuentaContable ='28050501', @NombreCuentaContable ='De clientes',@Identificacion ='900297847',@Sucursal ='',@NombreTercero ='CENTRO CONTRA EFECTOS DE LA EDAD S.A.S',@SaldoInicial = -521800,@MovimientoDebito = 0,@MovimientoCredito =0,@SaldoFinal = 0,@Fecha ='20240630',@IdentificacionCliente = '901434038';</v>
      </c>
      <c r="AB466" t="s">
        <v>1085</v>
      </c>
    </row>
    <row r="467" spans="1:28" x14ac:dyDescent="0.25">
      <c r="A467" s="2" t="s">
        <v>28</v>
      </c>
      <c r="B467" s="2" t="s">
        <v>29</v>
      </c>
      <c r="C467" s="2" t="s">
        <v>500</v>
      </c>
      <c r="D467" s="2" t="s">
        <v>499</v>
      </c>
      <c r="E467" s="2" t="s">
        <v>89</v>
      </c>
      <c r="F467" s="2"/>
      <c r="G467" s="2" t="s">
        <v>90</v>
      </c>
      <c r="H467" s="3" t="s">
        <v>985</v>
      </c>
      <c r="I467" s="3">
        <v>0</v>
      </c>
      <c r="J467" s="3">
        <v>0</v>
      </c>
      <c r="K467" s="3" t="s">
        <v>985</v>
      </c>
      <c r="L467" t="s">
        <v>1071</v>
      </c>
      <c r="M467" t="s">
        <v>1072</v>
      </c>
      <c r="N467" t="s">
        <v>1073</v>
      </c>
      <c r="O467" t="s">
        <v>1074</v>
      </c>
      <c r="P467" t="s">
        <v>1075</v>
      </c>
      <c r="Q467" t="s">
        <v>1076</v>
      </c>
      <c r="R467" t="s">
        <v>1077</v>
      </c>
      <c r="S467" t="s">
        <v>1078</v>
      </c>
      <c r="T467" t="s">
        <v>1079</v>
      </c>
      <c r="U467" t="s">
        <v>1080</v>
      </c>
      <c r="V467" t="s">
        <v>1081</v>
      </c>
      <c r="W467" t="s">
        <v>1082</v>
      </c>
      <c r="X467">
        <v>20240630</v>
      </c>
      <c r="Y467" t="s">
        <v>1083</v>
      </c>
      <c r="Z467" t="s">
        <v>1084</v>
      </c>
      <c r="AA467" s="11" t="str">
        <f t="shared" si="7"/>
        <v>EXEC [dbo].[BalanceGeneralInsertar] @Nivel ='Auxiliar',@Transaccional ='Sí',@CodigoCuentaContable ='28050501', @NombreCuentaContable ='De clientes',@Identificacion ='900192072',@Sucursal ='',@NombreTercero ='SEOUL MEDICINA ESTETICA INTEGRAL Y SPA S.A.',@SaldoInicial = -4722114.02,@MovimientoDebito = 0,@MovimientoCredito =0,@SaldoFinal = 0,@Fecha ='20240630',@IdentificacionCliente = '901434038';</v>
      </c>
      <c r="AB467" t="s">
        <v>1085</v>
      </c>
    </row>
    <row r="468" spans="1:28" x14ac:dyDescent="0.25">
      <c r="A468" s="2" t="s">
        <v>28</v>
      </c>
      <c r="B468" s="2" t="s">
        <v>29</v>
      </c>
      <c r="C468" s="2" t="s">
        <v>500</v>
      </c>
      <c r="D468" s="2" t="s">
        <v>499</v>
      </c>
      <c r="E468" s="2" t="s">
        <v>91</v>
      </c>
      <c r="F468" s="2"/>
      <c r="G468" s="2" t="s">
        <v>92</v>
      </c>
      <c r="H468" s="3">
        <v>-1043630</v>
      </c>
      <c r="I468" s="3">
        <v>0</v>
      </c>
      <c r="J468" s="3">
        <v>0</v>
      </c>
      <c r="K468" s="3">
        <v>-1043630</v>
      </c>
      <c r="L468" t="s">
        <v>1071</v>
      </c>
      <c r="M468" t="s">
        <v>1072</v>
      </c>
      <c r="N468" t="s">
        <v>1073</v>
      </c>
      <c r="O468" t="s">
        <v>1074</v>
      </c>
      <c r="P468" t="s">
        <v>1075</v>
      </c>
      <c r="Q468" t="s">
        <v>1076</v>
      </c>
      <c r="R468" t="s">
        <v>1077</v>
      </c>
      <c r="S468" t="s">
        <v>1078</v>
      </c>
      <c r="T468" t="s">
        <v>1079</v>
      </c>
      <c r="U468" t="s">
        <v>1080</v>
      </c>
      <c r="V468" t="s">
        <v>1081</v>
      </c>
      <c r="W468" t="s">
        <v>1082</v>
      </c>
      <c r="X468">
        <v>20240630</v>
      </c>
      <c r="Y468" t="s">
        <v>1083</v>
      </c>
      <c r="Z468" t="s">
        <v>1084</v>
      </c>
      <c r="AA468" s="11" t="str">
        <f t="shared" si="7"/>
        <v>EXEC [dbo].[BalanceGeneralInsertar] @Nivel ='Auxiliar',@Transaccional ='Sí',@CodigoCuentaContable ='28050501', @NombreCuentaContable ='De clientes',@Identificacion ='900308524',@Sucursal ='',@NombreTercero ='INTÉGRIM SAS',@SaldoInicial = -1043630,@MovimientoDebito = 0,@MovimientoCredito =0,@SaldoFinal = 0,@Fecha ='20240630',@IdentificacionCliente = '901434038';</v>
      </c>
      <c r="AB468" t="s">
        <v>1085</v>
      </c>
    </row>
    <row r="469" spans="1:28" x14ac:dyDescent="0.25">
      <c r="A469" s="2" t="s">
        <v>28</v>
      </c>
      <c r="B469" s="2" t="s">
        <v>29</v>
      </c>
      <c r="C469" s="2" t="s">
        <v>500</v>
      </c>
      <c r="D469" s="2" t="s">
        <v>499</v>
      </c>
      <c r="E469" s="2" t="s">
        <v>83</v>
      </c>
      <c r="F469" s="2"/>
      <c r="G469" s="2" t="s">
        <v>84</v>
      </c>
      <c r="H469" s="3" t="s">
        <v>986</v>
      </c>
      <c r="I469" s="3">
        <v>0</v>
      </c>
      <c r="J469" s="3">
        <v>0</v>
      </c>
      <c r="K469" s="3" t="s">
        <v>986</v>
      </c>
      <c r="L469" t="s">
        <v>1071</v>
      </c>
      <c r="M469" t="s">
        <v>1072</v>
      </c>
      <c r="N469" t="s">
        <v>1073</v>
      </c>
      <c r="O469" t="s">
        <v>1074</v>
      </c>
      <c r="P469" t="s">
        <v>1075</v>
      </c>
      <c r="Q469" t="s">
        <v>1076</v>
      </c>
      <c r="R469" t="s">
        <v>1077</v>
      </c>
      <c r="S469" t="s">
        <v>1078</v>
      </c>
      <c r="T469" t="s">
        <v>1079</v>
      </c>
      <c r="U469" t="s">
        <v>1080</v>
      </c>
      <c r="V469" t="s">
        <v>1081</v>
      </c>
      <c r="W469" t="s">
        <v>1082</v>
      </c>
      <c r="X469">
        <v>20240630</v>
      </c>
      <c r="Y469" t="s">
        <v>1083</v>
      </c>
      <c r="Z469" t="s">
        <v>1084</v>
      </c>
      <c r="AA469" s="11" t="str">
        <f t="shared" si="7"/>
        <v>EXEC [dbo].[BalanceGeneralInsertar] @Nivel ='Auxiliar',@Transaccional ='Sí',@CodigoCuentaContable ='28050501', @NombreCuentaContable ='De clientes',@Identificacion ='830081040',@Sucursal ='',@NombreTercero ='INSTITUTO DE ESTETICA MEDICA DE COLOMBIA LTDA.',@SaldoInicial = -447822.35,@MovimientoDebito = 0,@MovimientoCredito =0,@SaldoFinal = 0,@Fecha ='20240630',@IdentificacionCliente = '901434038';</v>
      </c>
      <c r="AB469" t="s">
        <v>1085</v>
      </c>
    </row>
    <row r="470" spans="1:28" x14ac:dyDescent="0.25">
      <c r="A470" s="2" t="s">
        <v>15</v>
      </c>
      <c r="B470" s="2" t="s">
        <v>16</v>
      </c>
      <c r="C470" s="2" t="s">
        <v>501</v>
      </c>
      <c r="D470" s="2" t="s">
        <v>502</v>
      </c>
      <c r="E470" s="2"/>
      <c r="F470" s="2"/>
      <c r="G470" s="2"/>
      <c r="H470" s="3" t="s">
        <v>987</v>
      </c>
      <c r="I470" s="3">
        <v>0</v>
      </c>
      <c r="J470" s="3">
        <v>0</v>
      </c>
      <c r="K470" s="3" t="s">
        <v>987</v>
      </c>
      <c r="L470" t="s">
        <v>1071</v>
      </c>
      <c r="M470" t="s">
        <v>1072</v>
      </c>
      <c r="N470" t="s">
        <v>1073</v>
      </c>
      <c r="O470" t="s">
        <v>1074</v>
      </c>
      <c r="P470" t="s">
        <v>1075</v>
      </c>
      <c r="Q470" t="s">
        <v>1076</v>
      </c>
      <c r="R470" t="s">
        <v>1077</v>
      </c>
      <c r="S470" t="s">
        <v>1078</v>
      </c>
      <c r="T470" t="s">
        <v>1079</v>
      </c>
      <c r="U470" t="s">
        <v>1080</v>
      </c>
      <c r="V470" t="s">
        <v>1081</v>
      </c>
      <c r="W470" t="s">
        <v>1082</v>
      </c>
      <c r="X470">
        <v>20240630</v>
      </c>
      <c r="Y470" t="s">
        <v>1083</v>
      </c>
      <c r="Z470" t="s">
        <v>1084</v>
      </c>
      <c r="AA470" s="11" t="str">
        <f t="shared" si="7"/>
        <v>EXEC [dbo].[BalanceGeneralInsertar] @Nivel ='Clase',@Transaccional ='No',@CodigoCuentaContable ='3', @NombreCuentaContable ='Patrimonio',@Identificacion ='',@Sucursal ='',@NombreTercero ='',@SaldoInicial = -382090709.42,@MovimientoDebito = 0,@MovimientoCredito =0,@SaldoFinal = 0,@Fecha ='20240630',@IdentificacionCliente = '901434038';</v>
      </c>
      <c r="AB470" t="s">
        <v>1085</v>
      </c>
    </row>
    <row r="471" spans="1:28" x14ac:dyDescent="0.25">
      <c r="A471" s="2" t="s">
        <v>19</v>
      </c>
      <c r="B471" s="2" t="s">
        <v>16</v>
      </c>
      <c r="C471" s="2" t="s">
        <v>503</v>
      </c>
      <c r="D471" s="2" t="s">
        <v>504</v>
      </c>
      <c r="E471" s="2"/>
      <c r="F471" s="2"/>
      <c r="G471" s="2"/>
      <c r="H471" s="3">
        <v>-359000000</v>
      </c>
      <c r="I471" s="3">
        <v>0</v>
      </c>
      <c r="J471" s="3">
        <v>0</v>
      </c>
      <c r="K471" s="3">
        <v>-359000000</v>
      </c>
      <c r="L471" t="s">
        <v>1071</v>
      </c>
      <c r="M471" t="s">
        <v>1072</v>
      </c>
      <c r="N471" t="s">
        <v>1073</v>
      </c>
      <c r="O471" t="s">
        <v>1074</v>
      </c>
      <c r="P471" t="s">
        <v>1075</v>
      </c>
      <c r="Q471" t="s">
        <v>1076</v>
      </c>
      <c r="R471" t="s">
        <v>1077</v>
      </c>
      <c r="S471" t="s">
        <v>1078</v>
      </c>
      <c r="T471" t="s">
        <v>1079</v>
      </c>
      <c r="U471" t="s">
        <v>1080</v>
      </c>
      <c r="V471" t="s">
        <v>1081</v>
      </c>
      <c r="W471" t="s">
        <v>1082</v>
      </c>
      <c r="X471">
        <v>20240630</v>
      </c>
      <c r="Y471" t="s">
        <v>1083</v>
      </c>
      <c r="Z471" t="s">
        <v>1084</v>
      </c>
      <c r="AA471" s="11" t="str">
        <f t="shared" si="7"/>
        <v>EXEC [dbo].[BalanceGeneralInsertar] @Nivel ='Grupo',@Transaccional ='No',@CodigoCuentaContable ='31', @NombreCuentaContable ='Capital social',@Identificacion ='',@Sucursal ='',@NombreTercero ='',@SaldoInicial = -359000000,@MovimientoDebito = 0,@MovimientoCredito =0,@SaldoFinal = 0,@Fecha ='20240630',@IdentificacionCliente = '901434038';</v>
      </c>
      <c r="AB471" t="s">
        <v>1085</v>
      </c>
    </row>
    <row r="472" spans="1:28" x14ac:dyDescent="0.25">
      <c r="A472" s="2" t="s">
        <v>22</v>
      </c>
      <c r="B472" s="2" t="s">
        <v>16</v>
      </c>
      <c r="C472" s="2" t="s">
        <v>505</v>
      </c>
      <c r="D472" s="2" t="s">
        <v>506</v>
      </c>
      <c r="E472" s="2"/>
      <c r="F472" s="2"/>
      <c r="G472" s="2"/>
      <c r="H472" s="3">
        <v>-359000000</v>
      </c>
      <c r="I472" s="3">
        <v>0</v>
      </c>
      <c r="J472" s="3">
        <v>0</v>
      </c>
      <c r="K472" s="3">
        <v>-359000000</v>
      </c>
      <c r="L472" t="s">
        <v>1071</v>
      </c>
      <c r="M472" t="s">
        <v>1072</v>
      </c>
      <c r="N472" t="s">
        <v>1073</v>
      </c>
      <c r="O472" t="s">
        <v>1074</v>
      </c>
      <c r="P472" t="s">
        <v>1075</v>
      </c>
      <c r="Q472" t="s">
        <v>1076</v>
      </c>
      <c r="R472" t="s">
        <v>1077</v>
      </c>
      <c r="S472" t="s">
        <v>1078</v>
      </c>
      <c r="T472" t="s">
        <v>1079</v>
      </c>
      <c r="U472" t="s">
        <v>1080</v>
      </c>
      <c r="V472" t="s">
        <v>1081</v>
      </c>
      <c r="W472" t="s">
        <v>1082</v>
      </c>
      <c r="X472">
        <v>20240630</v>
      </c>
      <c r="Y472" t="s">
        <v>1083</v>
      </c>
      <c r="Z472" t="s">
        <v>1084</v>
      </c>
      <c r="AA472" s="11" t="str">
        <f t="shared" si="7"/>
        <v>EXEC [dbo].[BalanceGeneralInsertar] @Nivel ='Cuenta',@Transaccional ='No',@CodigoCuentaContable ='3105', @NombreCuentaContable ='Capital suscrito y pagado',@Identificacion ='',@Sucursal ='',@NombreTercero ='',@SaldoInicial = -359000000,@MovimientoDebito = 0,@MovimientoCredito =0,@SaldoFinal = 0,@Fecha ='20240630',@IdentificacionCliente = '901434038';</v>
      </c>
      <c r="AB472" t="s">
        <v>1085</v>
      </c>
    </row>
    <row r="473" spans="1:28" x14ac:dyDescent="0.25">
      <c r="A473" s="2" t="s">
        <v>25</v>
      </c>
      <c r="B473" s="2" t="s">
        <v>16</v>
      </c>
      <c r="C473" s="2" t="s">
        <v>507</v>
      </c>
      <c r="D473" s="2" t="s">
        <v>506</v>
      </c>
      <c r="E473" s="2"/>
      <c r="F473" s="2"/>
      <c r="G473" s="2"/>
      <c r="H473" s="3">
        <v>-360000000</v>
      </c>
      <c r="I473" s="3">
        <v>0</v>
      </c>
      <c r="J473" s="3">
        <v>0</v>
      </c>
      <c r="K473" s="3">
        <v>-360000000</v>
      </c>
      <c r="L473" t="s">
        <v>1071</v>
      </c>
      <c r="M473" t="s">
        <v>1072</v>
      </c>
      <c r="N473" t="s">
        <v>1073</v>
      </c>
      <c r="O473" t="s">
        <v>1074</v>
      </c>
      <c r="P473" t="s">
        <v>1075</v>
      </c>
      <c r="Q473" t="s">
        <v>1076</v>
      </c>
      <c r="R473" t="s">
        <v>1077</v>
      </c>
      <c r="S473" t="s">
        <v>1078</v>
      </c>
      <c r="T473" t="s">
        <v>1079</v>
      </c>
      <c r="U473" t="s">
        <v>1080</v>
      </c>
      <c r="V473" t="s">
        <v>1081</v>
      </c>
      <c r="W473" t="s">
        <v>1082</v>
      </c>
      <c r="X473">
        <v>20240630</v>
      </c>
      <c r="Y473" t="s">
        <v>1083</v>
      </c>
      <c r="Z473" t="s">
        <v>1084</v>
      </c>
      <c r="AA473" s="11" t="str">
        <f t="shared" si="7"/>
        <v>EXEC [dbo].[BalanceGeneralInsertar] @Nivel ='Subcuenta',@Transaccional ='No',@CodigoCuentaContable ='310505', @NombreCuentaContable ='Capital suscrito y pagado',@Identificacion ='',@Sucursal ='',@NombreTercero ='',@SaldoInicial = -360000000,@MovimientoDebito = 0,@MovimientoCredito =0,@SaldoFinal = 0,@Fecha ='20240630',@IdentificacionCliente = '901434038';</v>
      </c>
      <c r="AB473" t="s">
        <v>1085</v>
      </c>
    </row>
    <row r="474" spans="1:28" x14ac:dyDescent="0.25">
      <c r="A474" s="2" t="s">
        <v>28</v>
      </c>
      <c r="B474" s="2" t="s">
        <v>29</v>
      </c>
      <c r="C474" s="2" t="s">
        <v>508</v>
      </c>
      <c r="D474" s="2" t="s">
        <v>509</v>
      </c>
      <c r="E474" s="2" t="s">
        <v>119</v>
      </c>
      <c r="F474" s="2"/>
      <c r="G474" s="2" t="s">
        <v>120</v>
      </c>
      <c r="H474" s="3">
        <v>-150000000</v>
      </c>
      <c r="I474" s="3">
        <v>0</v>
      </c>
      <c r="J474" s="3">
        <v>0</v>
      </c>
      <c r="K474" s="3">
        <v>-150000000</v>
      </c>
      <c r="L474" t="s">
        <v>1071</v>
      </c>
      <c r="M474" t="s">
        <v>1072</v>
      </c>
      <c r="N474" t="s">
        <v>1073</v>
      </c>
      <c r="O474" t="s">
        <v>1074</v>
      </c>
      <c r="P474" t="s">
        <v>1075</v>
      </c>
      <c r="Q474" t="s">
        <v>1076</v>
      </c>
      <c r="R474" t="s">
        <v>1077</v>
      </c>
      <c r="S474" t="s">
        <v>1078</v>
      </c>
      <c r="T474" t="s">
        <v>1079</v>
      </c>
      <c r="U474" t="s">
        <v>1080</v>
      </c>
      <c r="V474" t="s">
        <v>1081</v>
      </c>
      <c r="W474" t="s">
        <v>1082</v>
      </c>
      <c r="X474">
        <v>20240630</v>
      </c>
      <c r="Y474" t="s">
        <v>1083</v>
      </c>
      <c r="Z474" t="s">
        <v>1084</v>
      </c>
      <c r="AA474" s="11" t="str">
        <f t="shared" si="7"/>
        <v>EXEC [dbo].[BalanceGeneralInsertar] @Nivel ='Auxiliar',@Transaccional ='Sí',@CodigoCuentaContable ='31050501', @NombreCuentaContable ='Capital autorizado',@Identificacion ='80196373',@Sucursal ='',@NombreTercero ='JUAN FERNANDO DURAN LOPEZ',@SaldoInicial = -150000000,@MovimientoDebito = 0,@MovimientoCredito =0,@SaldoFinal = 0,@Fecha ='20240630',@IdentificacionCliente = '901434038';</v>
      </c>
      <c r="AB474" t="s">
        <v>1085</v>
      </c>
    </row>
    <row r="475" spans="1:28" x14ac:dyDescent="0.25">
      <c r="A475" s="2" t="s">
        <v>28</v>
      </c>
      <c r="B475" s="2" t="s">
        <v>29</v>
      </c>
      <c r="C475" s="2" t="s">
        <v>508</v>
      </c>
      <c r="D475" s="2" t="s">
        <v>509</v>
      </c>
      <c r="E475" s="2" t="s">
        <v>223</v>
      </c>
      <c r="F475" s="2"/>
      <c r="G475" s="2" t="s">
        <v>224</v>
      </c>
      <c r="H475" s="3">
        <v>-210000000</v>
      </c>
      <c r="I475" s="3">
        <v>0</v>
      </c>
      <c r="J475" s="3">
        <v>0</v>
      </c>
      <c r="K475" s="3">
        <v>-210000000</v>
      </c>
      <c r="L475" t="s">
        <v>1071</v>
      </c>
      <c r="M475" t="s">
        <v>1072</v>
      </c>
      <c r="N475" t="s">
        <v>1073</v>
      </c>
      <c r="O475" t="s">
        <v>1074</v>
      </c>
      <c r="P475" t="s">
        <v>1075</v>
      </c>
      <c r="Q475" t="s">
        <v>1076</v>
      </c>
      <c r="R475" t="s">
        <v>1077</v>
      </c>
      <c r="S475" t="s">
        <v>1078</v>
      </c>
      <c r="T475" t="s">
        <v>1079</v>
      </c>
      <c r="U475" t="s">
        <v>1080</v>
      </c>
      <c r="V475" t="s">
        <v>1081</v>
      </c>
      <c r="W475" t="s">
        <v>1082</v>
      </c>
      <c r="X475">
        <v>20240630</v>
      </c>
      <c r="Y475" t="s">
        <v>1083</v>
      </c>
      <c r="Z475" t="s">
        <v>1084</v>
      </c>
      <c r="AA475" s="11" t="str">
        <f t="shared" si="7"/>
        <v>EXEC [dbo].[BalanceGeneralInsertar] @Nivel ='Auxiliar',@Transaccional ='Sí',@CodigoCuentaContable ='31050501', @NombreCuentaContable ='Capital autorizado',@Identificacion ='901434038',@Sucursal ='',@NombreTercero ='DAXA QUALITY SAS',@SaldoInicial = -210000000,@MovimientoDebito = 0,@MovimientoCredito =0,@SaldoFinal = 0,@Fecha ='20240630',@IdentificacionCliente = '901434038';</v>
      </c>
      <c r="AB475" t="s">
        <v>1085</v>
      </c>
    </row>
    <row r="476" spans="1:28" x14ac:dyDescent="0.25">
      <c r="A476" s="2" t="s">
        <v>25</v>
      </c>
      <c r="B476" s="2" t="s">
        <v>16</v>
      </c>
      <c r="C476" s="2" t="s">
        <v>510</v>
      </c>
      <c r="D476" s="2" t="s">
        <v>511</v>
      </c>
      <c r="E476" s="2"/>
      <c r="F476" s="2"/>
      <c r="G476" s="2"/>
      <c r="H476" s="3">
        <v>1000000</v>
      </c>
      <c r="I476" s="3">
        <v>0</v>
      </c>
      <c r="J476" s="3">
        <v>0</v>
      </c>
      <c r="K476" s="3">
        <v>1000000</v>
      </c>
      <c r="L476" t="s">
        <v>1071</v>
      </c>
      <c r="M476" t="s">
        <v>1072</v>
      </c>
      <c r="N476" t="s">
        <v>1073</v>
      </c>
      <c r="O476" t="s">
        <v>1074</v>
      </c>
      <c r="P476" t="s">
        <v>1075</v>
      </c>
      <c r="Q476" t="s">
        <v>1076</v>
      </c>
      <c r="R476" t="s">
        <v>1077</v>
      </c>
      <c r="S476" t="s">
        <v>1078</v>
      </c>
      <c r="T476" t="s">
        <v>1079</v>
      </c>
      <c r="U476" t="s">
        <v>1080</v>
      </c>
      <c r="V476" t="s">
        <v>1081</v>
      </c>
      <c r="W476" t="s">
        <v>1082</v>
      </c>
      <c r="X476">
        <v>20240630</v>
      </c>
      <c r="Y476" t="s">
        <v>1083</v>
      </c>
      <c r="Z476" t="s">
        <v>1084</v>
      </c>
      <c r="AA476" s="11" t="str">
        <f t="shared" si="7"/>
        <v>EXEC [dbo].[BalanceGeneralInsertar] @Nivel ='Subcuenta',@Transaccional ='No',@CodigoCuentaContable ='310510', @NombreCuentaContable ='Capital por suscribir (db)',@Identificacion ='',@Sucursal ='',@NombreTercero ='',@SaldoInicial = 1000000,@MovimientoDebito = 0,@MovimientoCredito =0,@SaldoFinal = 0,@Fecha ='20240630',@IdentificacionCliente = '901434038';</v>
      </c>
      <c r="AB476" t="s">
        <v>1085</v>
      </c>
    </row>
    <row r="477" spans="1:28" x14ac:dyDescent="0.25">
      <c r="A477" s="2" t="s">
        <v>28</v>
      </c>
      <c r="B477" s="2" t="s">
        <v>29</v>
      </c>
      <c r="C477" s="2" t="s">
        <v>512</v>
      </c>
      <c r="D477" s="2" t="s">
        <v>511</v>
      </c>
      <c r="E477" s="2" t="s">
        <v>223</v>
      </c>
      <c r="F477" s="2"/>
      <c r="G477" s="2" t="s">
        <v>224</v>
      </c>
      <c r="H477" s="3">
        <v>1000000</v>
      </c>
      <c r="I477" s="3">
        <v>0</v>
      </c>
      <c r="J477" s="3">
        <v>0</v>
      </c>
      <c r="K477" s="3">
        <v>1000000</v>
      </c>
      <c r="L477" t="s">
        <v>1071</v>
      </c>
      <c r="M477" t="s">
        <v>1072</v>
      </c>
      <c r="N477" t="s">
        <v>1073</v>
      </c>
      <c r="O477" t="s">
        <v>1074</v>
      </c>
      <c r="P477" t="s">
        <v>1075</v>
      </c>
      <c r="Q477" t="s">
        <v>1076</v>
      </c>
      <c r="R477" t="s">
        <v>1077</v>
      </c>
      <c r="S477" t="s">
        <v>1078</v>
      </c>
      <c r="T477" t="s">
        <v>1079</v>
      </c>
      <c r="U477" t="s">
        <v>1080</v>
      </c>
      <c r="V477" t="s">
        <v>1081</v>
      </c>
      <c r="W477" t="s">
        <v>1082</v>
      </c>
      <c r="X477">
        <v>20240630</v>
      </c>
      <c r="Y477" t="s">
        <v>1083</v>
      </c>
      <c r="Z477" t="s">
        <v>1084</v>
      </c>
      <c r="AA477" s="11" t="str">
        <f t="shared" si="7"/>
        <v>EXEC [dbo].[BalanceGeneralInsertar] @Nivel ='Auxiliar',@Transaccional ='Sí',@CodigoCuentaContable ='31051001', @NombreCuentaContable ='Capital por suscribir (db)',@Identificacion ='901434038',@Sucursal ='',@NombreTercero ='DAXA QUALITY SAS',@SaldoInicial = 1000000,@MovimientoDebito = 0,@MovimientoCredito =0,@SaldoFinal = 0,@Fecha ='20240630',@IdentificacionCliente = '901434038';</v>
      </c>
      <c r="AB477" t="s">
        <v>1085</v>
      </c>
    </row>
    <row r="478" spans="1:28" x14ac:dyDescent="0.25">
      <c r="A478" s="2" t="s">
        <v>19</v>
      </c>
      <c r="B478" s="2" t="s">
        <v>16</v>
      </c>
      <c r="C478" s="2" t="s">
        <v>513</v>
      </c>
      <c r="D478" s="2" t="s">
        <v>514</v>
      </c>
      <c r="E478" s="2"/>
      <c r="F478" s="2"/>
      <c r="G478" s="2"/>
      <c r="H478" s="3" t="s">
        <v>988</v>
      </c>
      <c r="I478" s="3">
        <v>0</v>
      </c>
      <c r="J478" s="3">
        <v>0</v>
      </c>
      <c r="K478" s="3" t="s">
        <v>988</v>
      </c>
      <c r="L478" t="s">
        <v>1071</v>
      </c>
      <c r="M478" t="s">
        <v>1072</v>
      </c>
      <c r="N478" t="s">
        <v>1073</v>
      </c>
      <c r="O478" t="s">
        <v>1074</v>
      </c>
      <c r="P478" t="s">
        <v>1075</v>
      </c>
      <c r="Q478" t="s">
        <v>1076</v>
      </c>
      <c r="R478" t="s">
        <v>1077</v>
      </c>
      <c r="S478" t="s">
        <v>1078</v>
      </c>
      <c r="T478" t="s">
        <v>1079</v>
      </c>
      <c r="U478" t="s">
        <v>1080</v>
      </c>
      <c r="V478" t="s">
        <v>1081</v>
      </c>
      <c r="W478" t="s">
        <v>1082</v>
      </c>
      <c r="X478">
        <v>20240630</v>
      </c>
      <c r="Y478" t="s">
        <v>1083</v>
      </c>
      <c r="Z478" t="s">
        <v>1084</v>
      </c>
      <c r="AA478" s="11" t="str">
        <f t="shared" si="7"/>
        <v>EXEC [dbo].[BalanceGeneralInsertar] @Nivel ='Grupo',@Transaccional ='No',@CodigoCuentaContable ='36', @NombreCuentaContable ='Resultado del ejercicio',@Identificacion ='',@Sucursal ='',@NombreTercero ='',@SaldoInicial = -23090709.42,@MovimientoDebito = 0,@MovimientoCredito =0,@SaldoFinal = 0,@Fecha ='20240630',@IdentificacionCliente = '901434038';</v>
      </c>
      <c r="AB478" t="s">
        <v>1085</v>
      </c>
    </row>
    <row r="479" spans="1:28" x14ac:dyDescent="0.25">
      <c r="A479" s="2" t="s">
        <v>22</v>
      </c>
      <c r="B479" s="2" t="s">
        <v>16</v>
      </c>
      <c r="C479" s="2" t="s">
        <v>515</v>
      </c>
      <c r="D479" s="2" t="s">
        <v>516</v>
      </c>
      <c r="E479" s="2"/>
      <c r="F479" s="2"/>
      <c r="G479" s="2"/>
      <c r="H479" s="3" t="s">
        <v>989</v>
      </c>
      <c r="I479" s="3">
        <v>0</v>
      </c>
      <c r="J479" s="3">
        <v>0</v>
      </c>
      <c r="K479" s="3" t="s">
        <v>989</v>
      </c>
      <c r="L479" t="s">
        <v>1071</v>
      </c>
      <c r="M479" t="s">
        <v>1072</v>
      </c>
      <c r="N479" t="s">
        <v>1073</v>
      </c>
      <c r="O479" t="s">
        <v>1074</v>
      </c>
      <c r="P479" t="s">
        <v>1075</v>
      </c>
      <c r="Q479" t="s">
        <v>1076</v>
      </c>
      <c r="R479" t="s">
        <v>1077</v>
      </c>
      <c r="S479" t="s">
        <v>1078</v>
      </c>
      <c r="T479" t="s">
        <v>1079</v>
      </c>
      <c r="U479" t="s">
        <v>1080</v>
      </c>
      <c r="V479" t="s">
        <v>1081</v>
      </c>
      <c r="W479" t="s">
        <v>1082</v>
      </c>
      <c r="X479">
        <v>20240630</v>
      </c>
      <c r="Y479" t="s">
        <v>1083</v>
      </c>
      <c r="Z479" t="s">
        <v>1084</v>
      </c>
      <c r="AA479" s="11" t="str">
        <f t="shared" si="7"/>
        <v>EXEC [dbo].[BalanceGeneralInsertar] @Nivel ='Cuenta',@Transaccional ='No',@CodigoCuentaContable ='3605', @NombreCuentaContable ='Utilidad del ejercicio',@Identificacion ='',@Sucursal ='',@NombreTercero ='',@SaldoInicial = -23090128.25,@MovimientoDebito = 0,@MovimientoCredito =0,@SaldoFinal = 0,@Fecha ='20240630',@IdentificacionCliente = '901434038';</v>
      </c>
      <c r="AB479" t="s">
        <v>1085</v>
      </c>
    </row>
    <row r="480" spans="1:28" x14ac:dyDescent="0.25">
      <c r="A480" s="2" t="s">
        <v>25</v>
      </c>
      <c r="B480" s="2" t="s">
        <v>29</v>
      </c>
      <c r="C480" s="2" t="s">
        <v>517</v>
      </c>
      <c r="D480" s="2" t="s">
        <v>516</v>
      </c>
      <c r="E480" s="2" t="s">
        <v>223</v>
      </c>
      <c r="F480" s="2"/>
      <c r="G480" s="2" t="s">
        <v>224</v>
      </c>
      <c r="H480" s="3" t="s">
        <v>989</v>
      </c>
      <c r="I480" s="3">
        <v>0</v>
      </c>
      <c r="J480" s="3">
        <v>0</v>
      </c>
      <c r="K480" s="3" t="s">
        <v>989</v>
      </c>
      <c r="L480" t="s">
        <v>1071</v>
      </c>
      <c r="M480" t="s">
        <v>1072</v>
      </c>
      <c r="N480" t="s">
        <v>1073</v>
      </c>
      <c r="O480" t="s">
        <v>1074</v>
      </c>
      <c r="P480" t="s">
        <v>1075</v>
      </c>
      <c r="Q480" t="s">
        <v>1076</v>
      </c>
      <c r="R480" t="s">
        <v>1077</v>
      </c>
      <c r="S480" t="s">
        <v>1078</v>
      </c>
      <c r="T480" t="s">
        <v>1079</v>
      </c>
      <c r="U480" t="s">
        <v>1080</v>
      </c>
      <c r="V480" t="s">
        <v>1081</v>
      </c>
      <c r="W480" t="s">
        <v>1082</v>
      </c>
      <c r="X480">
        <v>20240630</v>
      </c>
      <c r="Y480" t="s">
        <v>1083</v>
      </c>
      <c r="Z480" t="s">
        <v>1084</v>
      </c>
      <c r="AA480" s="11" t="str">
        <f t="shared" si="7"/>
        <v>EXEC [dbo].[BalanceGeneralInsertar] @Nivel ='Subcuenta',@Transaccional ='Sí',@CodigoCuentaContable ='360505', @NombreCuentaContable ='Utilidad del ejercicio',@Identificacion ='901434038',@Sucursal ='',@NombreTercero ='DAXA QUALITY SAS',@SaldoInicial = -23090128.25,@MovimientoDebito = 0,@MovimientoCredito =0,@SaldoFinal = 0,@Fecha ='20240630',@IdentificacionCliente = '901434038';</v>
      </c>
      <c r="AB480" t="s">
        <v>1085</v>
      </c>
    </row>
    <row r="481" spans="1:28" x14ac:dyDescent="0.25">
      <c r="A481" s="2" t="s">
        <v>22</v>
      </c>
      <c r="B481" s="2" t="s">
        <v>16</v>
      </c>
      <c r="C481" s="2" t="s">
        <v>518</v>
      </c>
      <c r="D481" s="2" t="s">
        <v>519</v>
      </c>
      <c r="E481" s="2"/>
      <c r="F481" s="2"/>
      <c r="G481" s="2"/>
      <c r="H481" s="3" t="s">
        <v>990</v>
      </c>
      <c r="I481" s="3">
        <v>0</v>
      </c>
      <c r="J481" s="3">
        <v>0</v>
      </c>
      <c r="K481" s="3" t="s">
        <v>990</v>
      </c>
      <c r="L481" t="s">
        <v>1071</v>
      </c>
      <c r="M481" t="s">
        <v>1072</v>
      </c>
      <c r="N481" t="s">
        <v>1073</v>
      </c>
      <c r="O481" t="s">
        <v>1074</v>
      </c>
      <c r="P481" t="s">
        <v>1075</v>
      </c>
      <c r="Q481" t="s">
        <v>1076</v>
      </c>
      <c r="R481" t="s">
        <v>1077</v>
      </c>
      <c r="S481" t="s">
        <v>1078</v>
      </c>
      <c r="T481" t="s">
        <v>1079</v>
      </c>
      <c r="U481" t="s">
        <v>1080</v>
      </c>
      <c r="V481" t="s">
        <v>1081</v>
      </c>
      <c r="W481" t="s">
        <v>1082</v>
      </c>
      <c r="X481">
        <v>20240630</v>
      </c>
      <c r="Y481" t="s">
        <v>1083</v>
      </c>
      <c r="Z481" t="s">
        <v>1084</v>
      </c>
      <c r="AA481" s="11" t="str">
        <f t="shared" si="7"/>
        <v>EXEC [dbo].[BalanceGeneralInsertar] @Nivel ='Cuenta',@Transaccional ='No',@CodigoCuentaContable ='3610', @NombreCuentaContable ='Perdida del ejercicio',@Identificacion ='',@Sucursal ='',@NombreTercero ='',@SaldoInicial = -581.17,@MovimientoDebito = 0,@MovimientoCredito =0,@SaldoFinal = 0,@Fecha ='20240630',@IdentificacionCliente = '901434038';</v>
      </c>
      <c r="AB481" t="s">
        <v>1085</v>
      </c>
    </row>
    <row r="482" spans="1:28" x14ac:dyDescent="0.25">
      <c r="A482" s="2" t="s">
        <v>25</v>
      </c>
      <c r="B482" s="2" t="s">
        <v>29</v>
      </c>
      <c r="C482" s="2" t="s">
        <v>520</v>
      </c>
      <c r="D482" s="2" t="s">
        <v>519</v>
      </c>
      <c r="E482" s="2" t="s">
        <v>223</v>
      </c>
      <c r="F482" s="2"/>
      <c r="G482" s="2" t="s">
        <v>224</v>
      </c>
      <c r="H482" s="3" t="s">
        <v>990</v>
      </c>
      <c r="I482" s="3">
        <v>0</v>
      </c>
      <c r="J482" s="3">
        <v>0</v>
      </c>
      <c r="K482" s="3" t="s">
        <v>990</v>
      </c>
      <c r="L482" t="s">
        <v>1071</v>
      </c>
      <c r="M482" t="s">
        <v>1072</v>
      </c>
      <c r="N482" t="s">
        <v>1073</v>
      </c>
      <c r="O482" t="s">
        <v>1074</v>
      </c>
      <c r="P482" t="s">
        <v>1075</v>
      </c>
      <c r="Q482" t="s">
        <v>1076</v>
      </c>
      <c r="R482" t="s">
        <v>1077</v>
      </c>
      <c r="S482" t="s">
        <v>1078</v>
      </c>
      <c r="T482" t="s">
        <v>1079</v>
      </c>
      <c r="U482" t="s">
        <v>1080</v>
      </c>
      <c r="V482" t="s">
        <v>1081</v>
      </c>
      <c r="W482" t="s">
        <v>1082</v>
      </c>
      <c r="X482">
        <v>20240630</v>
      </c>
      <c r="Y482" t="s">
        <v>1083</v>
      </c>
      <c r="Z482" t="s">
        <v>1084</v>
      </c>
      <c r="AA482" s="11" t="str">
        <f t="shared" si="7"/>
        <v>EXEC [dbo].[BalanceGeneralInsertar] @Nivel ='Subcuenta',@Transaccional ='Sí',@CodigoCuentaContable ='361005', @NombreCuentaContable ='Perdida del ejercicio',@Identificacion ='901434038',@Sucursal ='',@NombreTercero ='DAXA QUALITY SAS',@SaldoInicial = -581.17,@MovimientoDebito = 0,@MovimientoCredito =0,@SaldoFinal = 0,@Fecha ='20240630',@IdentificacionCliente = '901434038';</v>
      </c>
      <c r="AB482" t="s">
        <v>1085</v>
      </c>
    </row>
    <row r="483" spans="1:28" x14ac:dyDescent="0.25">
      <c r="A483" s="2" t="s">
        <v>15</v>
      </c>
      <c r="B483" s="2" t="s">
        <v>16</v>
      </c>
      <c r="C483" s="2" t="s">
        <v>521</v>
      </c>
      <c r="D483" s="2" t="s">
        <v>522</v>
      </c>
      <c r="E483" s="2"/>
      <c r="F483" s="2"/>
      <c r="G483" s="2"/>
      <c r="H483" s="3" t="s">
        <v>991</v>
      </c>
      <c r="I483" s="3">
        <v>0</v>
      </c>
      <c r="J483" s="3" t="s">
        <v>992</v>
      </c>
      <c r="K483" s="3" t="s">
        <v>993</v>
      </c>
      <c r="L483" t="s">
        <v>1071</v>
      </c>
      <c r="M483" t="s">
        <v>1072</v>
      </c>
      <c r="N483" t="s">
        <v>1073</v>
      </c>
      <c r="O483" t="s">
        <v>1074</v>
      </c>
      <c r="P483" t="s">
        <v>1075</v>
      </c>
      <c r="Q483" t="s">
        <v>1076</v>
      </c>
      <c r="R483" t="s">
        <v>1077</v>
      </c>
      <c r="S483" t="s">
        <v>1078</v>
      </c>
      <c r="T483" t="s">
        <v>1079</v>
      </c>
      <c r="U483" t="s">
        <v>1080</v>
      </c>
      <c r="V483" t="s">
        <v>1081</v>
      </c>
      <c r="W483" t="s">
        <v>1082</v>
      </c>
      <c r="X483">
        <v>20240630</v>
      </c>
      <c r="Y483" t="s">
        <v>1083</v>
      </c>
      <c r="Z483" t="s">
        <v>1084</v>
      </c>
      <c r="AA483" s="11" t="str">
        <f t="shared" si="7"/>
        <v>EXEC [dbo].[BalanceGeneralInsertar] @Nivel ='Clase',@Transaccional ='No',@CodigoCuentaContable ='4', @NombreCuentaContable ='Ingresos',@Identificacion ='',@Sucursal ='',@NombreTercero ='',@SaldoInicial = -509902298.9,@MovimientoDebito = 0,@MovimientoCredito =91784972.23,@SaldoFinal = 91784972.23,@Fecha ='20240630',@IdentificacionCliente = '901434038';</v>
      </c>
      <c r="AB483" t="s">
        <v>1085</v>
      </c>
    </row>
    <row r="484" spans="1:28" x14ac:dyDescent="0.25">
      <c r="A484" s="2" t="s">
        <v>19</v>
      </c>
      <c r="B484" s="2" t="s">
        <v>16</v>
      </c>
      <c r="C484" s="2" t="s">
        <v>523</v>
      </c>
      <c r="D484" s="2" t="s">
        <v>524</v>
      </c>
      <c r="E484" s="2"/>
      <c r="F484" s="2"/>
      <c r="G484" s="2"/>
      <c r="H484" s="3" t="s">
        <v>994</v>
      </c>
      <c r="I484" s="3">
        <v>0</v>
      </c>
      <c r="J484" s="3">
        <v>88171767</v>
      </c>
      <c r="K484" s="3" t="s">
        <v>995</v>
      </c>
      <c r="L484" t="s">
        <v>1071</v>
      </c>
      <c r="M484" t="s">
        <v>1072</v>
      </c>
      <c r="N484" t="s">
        <v>1073</v>
      </c>
      <c r="O484" t="s">
        <v>1074</v>
      </c>
      <c r="P484" t="s">
        <v>1075</v>
      </c>
      <c r="Q484" t="s">
        <v>1076</v>
      </c>
      <c r="R484" t="s">
        <v>1077</v>
      </c>
      <c r="S484" t="s">
        <v>1078</v>
      </c>
      <c r="T484" t="s">
        <v>1079</v>
      </c>
      <c r="U484" t="s">
        <v>1080</v>
      </c>
      <c r="V484" t="s">
        <v>1081</v>
      </c>
      <c r="W484" t="s">
        <v>1082</v>
      </c>
      <c r="X484">
        <v>20240630</v>
      </c>
      <c r="Y484" t="s">
        <v>1083</v>
      </c>
      <c r="Z484" t="s">
        <v>1084</v>
      </c>
      <c r="AA484" s="11" t="str">
        <f t="shared" si="7"/>
        <v>EXEC [dbo].[BalanceGeneralInsertar] @Nivel ='Grupo',@Transaccional ='No',@CodigoCuentaContable ='41', @NombreCuentaContable ='Ingresos de actividades ordinarias',@Identificacion ='',@Sucursal ='',@NombreTercero ='',@SaldoInicial = -500439853.98,@MovimientoDebito = 0,@MovimientoCredito =88171767,@SaldoFinal = 88171767,@Fecha ='20240630',@IdentificacionCliente = '901434038';</v>
      </c>
      <c r="AB484" t="s">
        <v>1085</v>
      </c>
    </row>
    <row r="485" spans="1:28" x14ac:dyDescent="0.25">
      <c r="A485" s="2" t="s">
        <v>22</v>
      </c>
      <c r="B485" s="2" t="s">
        <v>16</v>
      </c>
      <c r="C485" s="2" t="s">
        <v>525</v>
      </c>
      <c r="D485" s="2" t="s">
        <v>526</v>
      </c>
      <c r="E485" s="2"/>
      <c r="F485" s="2"/>
      <c r="G485" s="2"/>
      <c r="H485" s="3">
        <v>-6668487</v>
      </c>
      <c r="I485" s="3">
        <v>0</v>
      </c>
      <c r="J485" s="3">
        <v>0</v>
      </c>
      <c r="K485" s="3">
        <v>-6668487</v>
      </c>
      <c r="L485" t="s">
        <v>1071</v>
      </c>
      <c r="M485" t="s">
        <v>1072</v>
      </c>
      <c r="N485" t="s">
        <v>1073</v>
      </c>
      <c r="O485" t="s">
        <v>1074</v>
      </c>
      <c r="P485" t="s">
        <v>1075</v>
      </c>
      <c r="Q485" t="s">
        <v>1076</v>
      </c>
      <c r="R485" t="s">
        <v>1077</v>
      </c>
      <c r="S485" t="s">
        <v>1078</v>
      </c>
      <c r="T485" t="s">
        <v>1079</v>
      </c>
      <c r="U485" t="s">
        <v>1080</v>
      </c>
      <c r="V485" t="s">
        <v>1081</v>
      </c>
      <c r="W485" t="s">
        <v>1082</v>
      </c>
      <c r="X485">
        <v>20240630</v>
      </c>
      <c r="Y485" t="s">
        <v>1083</v>
      </c>
      <c r="Z485" t="s">
        <v>1084</v>
      </c>
      <c r="AA485" s="11" t="str">
        <f t="shared" si="7"/>
        <v>EXEC [dbo].[BalanceGeneralInsertar] @Nivel ='Cuenta',@Transaccional ='No',@CodigoCuentaContable ='4135', @NombreCuentaContable ='Comercio al por mayor y al detal',@Identificacion ='',@Sucursal ='',@NombreTercero ='',@SaldoInicial = -6668487,@MovimientoDebito = 0,@MovimientoCredito =0,@SaldoFinal = 0,@Fecha ='20240630',@IdentificacionCliente = '901434038';</v>
      </c>
      <c r="AB485" t="s">
        <v>1085</v>
      </c>
    </row>
    <row r="486" spans="1:28" x14ac:dyDescent="0.25">
      <c r="A486" s="2" t="s">
        <v>25</v>
      </c>
      <c r="B486" s="2" t="s">
        <v>16</v>
      </c>
      <c r="C486" s="2" t="s">
        <v>527</v>
      </c>
      <c r="D486" s="2" t="s">
        <v>526</v>
      </c>
      <c r="E486" s="2"/>
      <c r="F486" s="2"/>
      <c r="G486" s="2"/>
      <c r="H486" s="3">
        <v>-6668487</v>
      </c>
      <c r="I486" s="3">
        <v>0</v>
      </c>
      <c r="J486" s="3">
        <v>0</v>
      </c>
      <c r="K486" s="3">
        <v>-6668487</v>
      </c>
      <c r="L486" t="s">
        <v>1071</v>
      </c>
      <c r="M486" t="s">
        <v>1072</v>
      </c>
      <c r="N486" t="s">
        <v>1073</v>
      </c>
      <c r="O486" t="s">
        <v>1074</v>
      </c>
      <c r="P486" t="s">
        <v>1075</v>
      </c>
      <c r="Q486" t="s">
        <v>1076</v>
      </c>
      <c r="R486" t="s">
        <v>1077</v>
      </c>
      <c r="S486" t="s">
        <v>1078</v>
      </c>
      <c r="T486" t="s">
        <v>1079</v>
      </c>
      <c r="U486" t="s">
        <v>1080</v>
      </c>
      <c r="V486" t="s">
        <v>1081</v>
      </c>
      <c r="W486" t="s">
        <v>1082</v>
      </c>
      <c r="X486">
        <v>20240630</v>
      </c>
      <c r="Y486" t="s">
        <v>1083</v>
      </c>
      <c r="Z486" t="s">
        <v>1084</v>
      </c>
      <c r="AA486" s="11" t="str">
        <f t="shared" si="7"/>
        <v>EXEC [dbo].[BalanceGeneralInsertar] @Nivel ='Subcuenta',@Transaccional ='No',@CodigoCuentaContable ='413501', @NombreCuentaContable ='Comercio al por mayor y al detal',@Identificacion ='',@Sucursal ='',@NombreTercero ='',@SaldoInicial = -6668487,@MovimientoDebito = 0,@MovimientoCredito =0,@SaldoFinal = 0,@Fecha ='20240630',@IdentificacionCliente = '901434038';</v>
      </c>
      <c r="AB486" t="s">
        <v>1085</v>
      </c>
    </row>
    <row r="487" spans="1:28" x14ac:dyDescent="0.25">
      <c r="A487" s="2" t="s">
        <v>28</v>
      </c>
      <c r="B487" s="2" t="s">
        <v>29</v>
      </c>
      <c r="C487" s="2" t="s">
        <v>528</v>
      </c>
      <c r="D487" s="2" t="s">
        <v>526</v>
      </c>
      <c r="E487" s="2" t="s">
        <v>105</v>
      </c>
      <c r="F487" s="2"/>
      <c r="G487" s="2" t="s">
        <v>106</v>
      </c>
      <c r="H487" s="3">
        <v>-4905000</v>
      </c>
      <c r="I487" s="3">
        <v>0</v>
      </c>
      <c r="J487" s="3">
        <v>0</v>
      </c>
      <c r="K487" s="3">
        <v>-4905000</v>
      </c>
      <c r="L487" t="s">
        <v>1071</v>
      </c>
      <c r="M487" t="s">
        <v>1072</v>
      </c>
      <c r="N487" t="s">
        <v>1073</v>
      </c>
      <c r="O487" t="s">
        <v>1074</v>
      </c>
      <c r="P487" t="s">
        <v>1075</v>
      </c>
      <c r="Q487" t="s">
        <v>1076</v>
      </c>
      <c r="R487" t="s">
        <v>1077</v>
      </c>
      <c r="S487" t="s">
        <v>1078</v>
      </c>
      <c r="T487" t="s">
        <v>1079</v>
      </c>
      <c r="U487" t="s">
        <v>1080</v>
      </c>
      <c r="V487" t="s">
        <v>1081</v>
      </c>
      <c r="W487" t="s">
        <v>1082</v>
      </c>
      <c r="X487">
        <v>20240630</v>
      </c>
      <c r="Y487" t="s">
        <v>1083</v>
      </c>
      <c r="Z487" t="s">
        <v>1084</v>
      </c>
      <c r="AA487" s="11" t="str">
        <f t="shared" si="7"/>
        <v>EXEC [dbo].[BalanceGeneralInsertar] @Nivel ='Auxiliar',@Transaccional ='Sí',@CodigoCuentaContable ='41350101', @NombreCuentaContable ='Comercio al por mayor y al detal',@Identificacion ='901000155',@Sucursal ='',@NombreTercero ='DELUXE BY CRISTINA JARAMILLO S.A.S',@SaldoInicial = -4905000,@MovimientoDebito = 0,@MovimientoCredito =0,@SaldoFinal = 0,@Fecha ='20240630',@IdentificacionCliente = '901434038';</v>
      </c>
      <c r="AB487" t="s">
        <v>1085</v>
      </c>
    </row>
    <row r="488" spans="1:28" x14ac:dyDescent="0.25">
      <c r="A488" s="2" t="s">
        <v>28</v>
      </c>
      <c r="B488" s="2" t="s">
        <v>29</v>
      </c>
      <c r="C488" s="2" t="s">
        <v>528</v>
      </c>
      <c r="D488" s="2" t="s">
        <v>526</v>
      </c>
      <c r="E488" s="2" t="s">
        <v>79</v>
      </c>
      <c r="F488" s="2"/>
      <c r="G488" s="2" t="s">
        <v>80</v>
      </c>
      <c r="H488" s="3">
        <v>-662500</v>
      </c>
      <c r="I488" s="3">
        <v>0</v>
      </c>
      <c r="J488" s="3">
        <v>0</v>
      </c>
      <c r="K488" s="3">
        <v>-662500</v>
      </c>
      <c r="L488" t="s">
        <v>1071</v>
      </c>
      <c r="M488" t="s">
        <v>1072</v>
      </c>
      <c r="N488" t="s">
        <v>1073</v>
      </c>
      <c r="O488" t="s">
        <v>1074</v>
      </c>
      <c r="P488" t="s">
        <v>1075</v>
      </c>
      <c r="Q488" t="s">
        <v>1076</v>
      </c>
      <c r="R488" t="s">
        <v>1077</v>
      </c>
      <c r="S488" t="s">
        <v>1078</v>
      </c>
      <c r="T488" t="s">
        <v>1079</v>
      </c>
      <c r="U488" t="s">
        <v>1080</v>
      </c>
      <c r="V488" t="s">
        <v>1081</v>
      </c>
      <c r="W488" t="s">
        <v>1082</v>
      </c>
      <c r="X488">
        <v>20240630</v>
      </c>
      <c r="Y488" t="s">
        <v>1083</v>
      </c>
      <c r="Z488" t="s">
        <v>1084</v>
      </c>
      <c r="AA488" s="11" t="str">
        <f t="shared" si="7"/>
        <v>EXEC [dbo].[BalanceGeneralInsertar] @Nivel ='Auxiliar',@Transaccional ='Sí',@CodigoCuentaContable ='41350101', @NombreCuentaContable ='Comercio al por mayor y al detal',@Identificacion ='901456421',@Sucursal ='',@NombreTercero ='DELUXE ORIENTE S.A.S',@SaldoInicial = -662500,@MovimientoDebito = 0,@MovimientoCredito =0,@SaldoFinal = 0,@Fecha ='20240630',@IdentificacionCliente = '901434038';</v>
      </c>
      <c r="AB488" t="s">
        <v>1085</v>
      </c>
    </row>
    <row r="489" spans="1:28" x14ac:dyDescent="0.25">
      <c r="A489" s="2" t="s">
        <v>28</v>
      </c>
      <c r="B489" s="2" t="s">
        <v>29</v>
      </c>
      <c r="C489" s="2" t="s">
        <v>528</v>
      </c>
      <c r="D489" s="2" t="s">
        <v>526</v>
      </c>
      <c r="E489" s="2" t="s">
        <v>71</v>
      </c>
      <c r="F489" s="2"/>
      <c r="G489" s="2" t="s">
        <v>72</v>
      </c>
      <c r="H489" s="3">
        <v>-535987</v>
      </c>
      <c r="I489" s="3">
        <v>0</v>
      </c>
      <c r="J489" s="3">
        <v>0</v>
      </c>
      <c r="K489" s="3">
        <v>-535987</v>
      </c>
      <c r="L489" t="s">
        <v>1071</v>
      </c>
      <c r="M489" t="s">
        <v>1072</v>
      </c>
      <c r="N489" t="s">
        <v>1073</v>
      </c>
      <c r="O489" t="s">
        <v>1074</v>
      </c>
      <c r="P489" t="s">
        <v>1075</v>
      </c>
      <c r="Q489" t="s">
        <v>1076</v>
      </c>
      <c r="R489" t="s">
        <v>1077</v>
      </c>
      <c r="S489" t="s">
        <v>1078</v>
      </c>
      <c r="T489" t="s">
        <v>1079</v>
      </c>
      <c r="U489" t="s">
        <v>1080</v>
      </c>
      <c r="V489" t="s">
        <v>1081</v>
      </c>
      <c r="W489" t="s">
        <v>1082</v>
      </c>
      <c r="X489">
        <v>20240630</v>
      </c>
      <c r="Y489" t="s">
        <v>1083</v>
      </c>
      <c r="Z489" t="s">
        <v>1084</v>
      </c>
      <c r="AA489" s="11" t="str">
        <f t="shared" si="7"/>
        <v>EXEC [dbo].[BalanceGeneralInsertar] @Nivel ='Auxiliar',@Transaccional ='Sí',@CodigoCuentaContable ='41350101', @NombreCuentaContable ='Comercio al por mayor y al detal',@Identificacion ='901477526',@Sucursal ='',@NombreTercero ='SABANA MEDICAL SPA SAS',@SaldoInicial = -535987,@MovimientoDebito = 0,@MovimientoCredito =0,@SaldoFinal = 0,@Fecha ='20240630',@IdentificacionCliente = '901434038';</v>
      </c>
      <c r="AB489" t="s">
        <v>1085</v>
      </c>
    </row>
    <row r="490" spans="1:28" x14ac:dyDescent="0.25">
      <c r="A490" s="2" t="s">
        <v>28</v>
      </c>
      <c r="B490" s="2" t="s">
        <v>29</v>
      </c>
      <c r="C490" s="2" t="s">
        <v>528</v>
      </c>
      <c r="D490" s="2" t="s">
        <v>526</v>
      </c>
      <c r="E490" s="2" t="s">
        <v>51</v>
      </c>
      <c r="F490" s="2"/>
      <c r="G490" s="2" t="s">
        <v>52</v>
      </c>
      <c r="H490" s="3">
        <v>-565000</v>
      </c>
      <c r="I490" s="3">
        <v>0</v>
      </c>
      <c r="J490" s="3">
        <v>0</v>
      </c>
      <c r="K490" s="3">
        <v>-565000</v>
      </c>
      <c r="L490" t="s">
        <v>1071</v>
      </c>
      <c r="M490" t="s">
        <v>1072</v>
      </c>
      <c r="N490" t="s">
        <v>1073</v>
      </c>
      <c r="O490" t="s">
        <v>1074</v>
      </c>
      <c r="P490" t="s">
        <v>1075</v>
      </c>
      <c r="Q490" t="s">
        <v>1076</v>
      </c>
      <c r="R490" t="s">
        <v>1077</v>
      </c>
      <c r="S490" t="s">
        <v>1078</v>
      </c>
      <c r="T490" t="s">
        <v>1079</v>
      </c>
      <c r="U490" t="s">
        <v>1080</v>
      </c>
      <c r="V490" t="s">
        <v>1081</v>
      </c>
      <c r="W490" t="s">
        <v>1082</v>
      </c>
      <c r="X490">
        <v>20240630</v>
      </c>
      <c r="Y490" t="s">
        <v>1083</v>
      </c>
      <c r="Z490" t="s">
        <v>1084</v>
      </c>
      <c r="AA490" s="11" t="str">
        <f t="shared" si="7"/>
        <v>EXEC [dbo].[BalanceGeneralInsertar] @Nivel ='Auxiliar',@Transaccional ='Sí',@CodigoCuentaContable ='41350101', @NombreCuentaContable ='Comercio al por mayor y al detal',@Identificacion ='901733873',@Sucursal ='',@NombreTercero ='AV SALUD INTEGRAL SAS',@SaldoInicial = -565000,@MovimientoDebito = 0,@MovimientoCredito =0,@SaldoFinal = 0,@Fecha ='20240630',@IdentificacionCliente = '901434038';</v>
      </c>
      <c r="AB490" t="s">
        <v>1085</v>
      </c>
    </row>
    <row r="491" spans="1:28" x14ac:dyDescent="0.25">
      <c r="A491" s="2" t="s">
        <v>22</v>
      </c>
      <c r="B491" s="2" t="s">
        <v>16</v>
      </c>
      <c r="C491" s="2" t="s">
        <v>529</v>
      </c>
      <c r="D491" s="2" t="s">
        <v>530</v>
      </c>
      <c r="E491" s="2"/>
      <c r="F491" s="2"/>
      <c r="G491" s="2"/>
      <c r="H491" s="3">
        <v>6218487</v>
      </c>
      <c r="I491" s="3">
        <v>0</v>
      </c>
      <c r="J491" s="3">
        <v>0</v>
      </c>
      <c r="K491" s="3">
        <v>6218487</v>
      </c>
      <c r="L491" t="s">
        <v>1071</v>
      </c>
      <c r="M491" t="s">
        <v>1072</v>
      </c>
      <c r="N491" t="s">
        <v>1073</v>
      </c>
      <c r="O491" t="s">
        <v>1074</v>
      </c>
      <c r="P491" t="s">
        <v>1075</v>
      </c>
      <c r="Q491" t="s">
        <v>1076</v>
      </c>
      <c r="R491" t="s">
        <v>1077</v>
      </c>
      <c r="S491" t="s">
        <v>1078</v>
      </c>
      <c r="T491" t="s">
        <v>1079</v>
      </c>
      <c r="U491" t="s">
        <v>1080</v>
      </c>
      <c r="V491" t="s">
        <v>1081</v>
      </c>
      <c r="W491" t="s">
        <v>1082</v>
      </c>
      <c r="X491">
        <v>20240630</v>
      </c>
      <c r="Y491" t="s">
        <v>1083</v>
      </c>
      <c r="Z491" t="s">
        <v>1084</v>
      </c>
      <c r="AA491" s="11" t="str">
        <f t="shared" si="7"/>
        <v>EXEC [dbo].[BalanceGeneralInsertar] @Nivel ='Cuenta',@Transaccional ='No',@CodigoCuentaContable ='4175', @NombreCuentaContable ='Devolución en ventas',@Identificacion ='',@Sucursal ='',@NombreTercero ='',@SaldoInicial = 6218487,@MovimientoDebito = 0,@MovimientoCredito =0,@SaldoFinal = 0,@Fecha ='20240630',@IdentificacionCliente = '901434038';</v>
      </c>
      <c r="AB491" t="s">
        <v>1085</v>
      </c>
    </row>
    <row r="492" spans="1:28" x14ac:dyDescent="0.25">
      <c r="A492" s="2" t="s">
        <v>25</v>
      </c>
      <c r="B492" s="2" t="s">
        <v>16</v>
      </c>
      <c r="C492" s="2" t="s">
        <v>531</v>
      </c>
      <c r="D492" s="2" t="s">
        <v>532</v>
      </c>
      <c r="E492" s="2"/>
      <c r="F492" s="2"/>
      <c r="G492" s="2"/>
      <c r="H492" s="3">
        <v>6218487</v>
      </c>
      <c r="I492" s="3">
        <v>0</v>
      </c>
      <c r="J492" s="3">
        <v>0</v>
      </c>
      <c r="K492" s="3">
        <v>6218487</v>
      </c>
      <c r="L492" t="s">
        <v>1071</v>
      </c>
      <c r="M492" t="s">
        <v>1072</v>
      </c>
      <c r="N492" t="s">
        <v>1073</v>
      </c>
      <c r="O492" t="s">
        <v>1074</v>
      </c>
      <c r="P492" t="s">
        <v>1075</v>
      </c>
      <c r="Q492" t="s">
        <v>1076</v>
      </c>
      <c r="R492" t="s">
        <v>1077</v>
      </c>
      <c r="S492" t="s">
        <v>1078</v>
      </c>
      <c r="T492" t="s">
        <v>1079</v>
      </c>
      <c r="U492" t="s">
        <v>1080</v>
      </c>
      <c r="V492" t="s">
        <v>1081</v>
      </c>
      <c r="W492" t="s">
        <v>1082</v>
      </c>
      <c r="X492">
        <v>20240630</v>
      </c>
      <c r="Y492" t="s">
        <v>1083</v>
      </c>
      <c r="Z492" t="s">
        <v>1084</v>
      </c>
      <c r="AA492" s="11" t="str">
        <f t="shared" si="7"/>
        <v>EXEC [dbo].[BalanceGeneralInsertar] @Nivel ='Subcuenta',@Transaccional ='No',@CodigoCuentaContable ='417505', @NombreCuentaContable ='Devolución',@Identificacion ='',@Sucursal ='',@NombreTercero ='',@SaldoInicial = 6218487,@MovimientoDebito = 0,@MovimientoCredito =0,@SaldoFinal = 0,@Fecha ='20240630',@IdentificacionCliente = '901434038';</v>
      </c>
      <c r="AB492" t="s">
        <v>1085</v>
      </c>
    </row>
    <row r="493" spans="1:28" x14ac:dyDescent="0.25">
      <c r="A493" s="2" t="s">
        <v>28</v>
      </c>
      <c r="B493" s="2" t="s">
        <v>29</v>
      </c>
      <c r="C493" s="2" t="s">
        <v>533</v>
      </c>
      <c r="D493" s="2" t="s">
        <v>534</v>
      </c>
      <c r="E493" s="2" t="s">
        <v>57</v>
      </c>
      <c r="F493" s="2"/>
      <c r="G493" s="2" t="s">
        <v>58</v>
      </c>
      <c r="H493" s="3">
        <v>6218487</v>
      </c>
      <c r="I493" s="3">
        <v>0</v>
      </c>
      <c r="J493" s="3">
        <v>0</v>
      </c>
      <c r="K493" s="3">
        <v>6218487</v>
      </c>
      <c r="L493" t="s">
        <v>1071</v>
      </c>
      <c r="M493" t="s">
        <v>1072</v>
      </c>
      <c r="N493" t="s">
        <v>1073</v>
      </c>
      <c r="O493" t="s">
        <v>1074</v>
      </c>
      <c r="P493" t="s">
        <v>1075</v>
      </c>
      <c r="Q493" t="s">
        <v>1076</v>
      </c>
      <c r="R493" t="s">
        <v>1077</v>
      </c>
      <c r="S493" t="s">
        <v>1078</v>
      </c>
      <c r="T493" t="s">
        <v>1079</v>
      </c>
      <c r="U493" t="s">
        <v>1080</v>
      </c>
      <c r="V493" t="s">
        <v>1081</v>
      </c>
      <c r="W493" t="s">
        <v>1082</v>
      </c>
      <c r="X493">
        <v>20240630</v>
      </c>
      <c r="Y493" t="s">
        <v>1083</v>
      </c>
      <c r="Z493" t="s">
        <v>1084</v>
      </c>
      <c r="AA493" s="11" t="str">
        <f t="shared" si="7"/>
        <v>EXEC [dbo].[BalanceGeneralInsertar] @Nivel ='Auxiliar',@Transaccional ='Sí',@CodigoCuentaContable ='41750502', @NombreCuentaContable ='Devolución en servicios',@Identificacion ='901745690',@Sucursal ='',@NombreTercero ='JOHANNA DAZA MEDICINA ANTIENVEJECIMIENTO S.A.S.',@SaldoInicial = 6218487,@MovimientoDebito = 0,@MovimientoCredito =0,@SaldoFinal = 0,@Fecha ='20240630',@IdentificacionCliente = '901434038';</v>
      </c>
      <c r="AB493" t="s">
        <v>1085</v>
      </c>
    </row>
    <row r="494" spans="1:28" x14ac:dyDescent="0.25">
      <c r="A494" s="2" t="s">
        <v>22</v>
      </c>
      <c r="B494" s="2" t="s">
        <v>16</v>
      </c>
      <c r="C494" s="2" t="s">
        <v>535</v>
      </c>
      <c r="D494" s="2" t="s">
        <v>382</v>
      </c>
      <c r="E494" s="2"/>
      <c r="F494" s="2"/>
      <c r="G494" s="2"/>
      <c r="H494" s="3" t="s">
        <v>996</v>
      </c>
      <c r="I494" s="3">
        <v>0</v>
      </c>
      <c r="J494" s="3">
        <v>88171767</v>
      </c>
      <c r="K494" s="3" t="s">
        <v>997</v>
      </c>
      <c r="L494" t="s">
        <v>1071</v>
      </c>
      <c r="M494" t="s">
        <v>1072</v>
      </c>
      <c r="N494" t="s">
        <v>1073</v>
      </c>
      <c r="O494" t="s">
        <v>1074</v>
      </c>
      <c r="P494" t="s">
        <v>1075</v>
      </c>
      <c r="Q494" t="s">
        <v>1076</v>
      </c>
      <c r="R494" t="s">
        <v>1077</v>
      </c>
      <c r="S494" t="s">
        <v>1078</v>
      </c>
      <c r="T494" t="s">
        <v>1079</v>
      </c>
      <c r="U494" t="s">
        <v>1080</v>
      </c>
      <c r="V494" t="s">
        <v>1081</v>
      </c>
      <c r="W494" t="s">
        <v>1082</v>
      </c>
      <c r="X494">
        <v>20240630</v>
      </c>
      <c r="Y494" t="s">
        <v>1083</v>
      </c>
      <c r="Z494" t="s">
        <v>1084</v>
      </c>
      <c r="AA494" s="11" t="str">
        <f t="shared" si="7"/>
        <v>EXEC [dbo].[BalanceGeneralInsertar] @Nivel ='Cuenta',@Transaccional ='No',@CodigoCuentaContable ='4180', @NombreCuentaContable ='Servicios',@Identificacion ='',@Sucursal ='',@NombreTercero ='',@SaldoInicial = -499989853.98,@MovimientoDebito = 0,@MovimientoCredito =88171767,@SaldoFinal = 88171767,@Fecha ='20240630',@IdentificacionCliente = '901434038';</v>
      </c>
      <c r="AB494" t="s">
        <v>1085</v>
      </c>
    </row>
    <row r="495" spans="1:28" x14ac:dyDescent="0.25">
      <c r="A495" s="2" t="s">
        <v>25</v>
      </c>
      <c r="B495" s="2" t="s">
        <v>16</v>
      </c>
      <c r="C495" s="2" t="s">
        <v>536</v>
      </c>
      <c r="D495" s="2" t="s">
        <v>382</v>
      </c>
      <c r="E495" s="2"/>
      <c r="F495" s="2"/>
      <c r="G495" s="2"/>
      <c r="H495" s="3" t="s">
        <v>996</v>
      </c>
      <c r="I495" s="3">
        <v>0</v>
      </c>
      <c r="J495" s="3">
        <v>88171767</v>
      </c>
      <c r="K495" s="3" t="s">
        <v>997</v>
      </c>
      <c r="L495" t="s">
        <v>1071</v>
      </c>
      <c r="M495" t="s">
        <v>1072</v>
      </c>
      <c r="N495" t="s">
        <v>1073</v>
      </c>
      <c r="O495" t="s">
        <v>1074</v>
      </c>
      <c r="P495" t="s">
        <v>1075</v>
      </c>
      <c r="Q495" t="s">
        <v>1076</v>
      </c>
      <c r="R495" t="s">
        <v>1077</v>
      </c>
      <c r="S495" t="s">
        <v>1078</v>
      </c>
      <c r="T495" t="s">
        <v>1079</v>
      </c>
      <c r="U495" t="s">
        <v>1080</v>
      </c>
      <c r="V495" t="s">
        <v>1081</v>
      </c>
      <c r="W495" t="s">
        <v>1082</v>
      </c>
      <c r="X495">
        <v>20240630</v>
      </c>
      <c r="Y495" t="s">
        <v>1083</v>
      </c>
      <c r="Z495" t="s">
        <v>1084</v>
      </c>
      <c r="AA495" s="11" t="str">
        <f t="shared" si="7"/>
        <v>EXEC [dbo].[BalanceGeneralInsertar] @Nivel ='Subcuenta',@Transaccional ='No',@CodigoCuentaContable ='418001', @NombreCuentaContable ='Servicios',@Identificacion ='',@Sucursal ='',@NombreTercero ='',@SaldoInicial = -499989853.98,@MovimientoDebito = 0,@MovimientoCredito =88171767,@SaldoFinal = 88171767,@Fecha ='20240630',@IdentificacionCliente = '901434038';</v>
      </c>
      <c r="AB495" t="s">
        <v>1085</v>
      </c>
    </row>
    <row r="496" spans="1:28" x14ac:dyDescent="0.25">
      <c r="A496" s="2" t="s">
        <v>28</v>
      </c>
      <c r="B496" s="2" t="s">
        <v>29</v>
      </c>
      <c r="C496" s="2" t="s">
        <v>537</v>
      </c>
      <c r="D496" s="2" t="s">
        <v>382</v>
      </c>
      <c r="E496" s="2" t="s">
        <v>53</v>
      </c>
      <c r="F496" s="2"/>
      <c r="G496" s="2" t="s">
        <v>54</v>
      </c>
      <c r="H496" s="3">
        <v>-800000</v>
      </c>
      <c r="I496" s="3">
        <v>0</v>
      </c>
      <c r="J496" s="3">
        <v>0</v>
      </c>
      <c r="K496" s="3">
        <v>-800000</v>
      </c>
      <c r="L496" t="s">
        <v>1071</v>
      </c>
      <c r="M496" t="s">
        <v>1072</v>
      </c>
      <c r="N496" t="s">
        <v>1073</v>
      </c>
      <c r="O496" t="s">
        <v>1074</v>
      </c>
      <c r="P496" t="s">
        <v>1075</v>
      </c>
      <c r="Q496" t="s">
        <v>1076</v>
      </c>
      <c r="R496" t="s">
        <v>1077</v>
      </c>
      <c r="S496" t="s">
        <v>1078</v>
      </c>
      <c r="T496" t="s">
        <v>1079</v>
      </c>
      <c r="U496" t="s">
        <v>1080</v>
      </c>
      <c r="V496" t="s">
        <v>1081</v>
      </c>
      <c r="W496" t="s">
        <v>1082</v>
      </c>
      <c r="X496">
        <v>20240630</v>
      </c>
      <c r="Y496" t="s">
        <v>1083</v>
      </c>
      <c r="Z496" t="s">
        <v>1084</v>
      </c>
      <c r="AA496" s="11" t="str">
        <f t="shared" si="7"/>
        <v>EXEC [dbo].[BalanceGeneralInsertar] @Nivel ='Auxiliar',@Transaccional ='Sí',@CodigoCuentaContable ='41800101', @NombreCuentaContable ='Servicios',@Identificacion ='901115633',@Sucursal ='',@NombreTercero ='CAROLINA MARTINEZ SAS',@SaldoInicial = -800000,@MovimientoDebito = 0,@MovimientoCredito =0,@SaldoFinal = 0,@Fecha ='20240630',@IdentificacionCliente = '901434038';</v>
      </c>
      <c r="AB496" t="s">
        <v>1085</v>
      </c>
    </row>
    <row r="497" spans="1:28" x14ac:dyDescent="0.25">
      <c r="A497" s="2" t="s">
        <v>28</v>
      </c>
      <c r="B497" s="2" t="s">
        <v>29</v>
      </c>
      <c r="C497" s="2" t="s">
        <v>538</v>
      </c>
      <c r="D497" s="2" t="s">
        <v>539</v>
      </c>
      <c r="E497" s="2" t="s">
        <v>105</v>
      </c>
      <c r="F497" s="2"/>
      <c r="G497" s="2" t="s">
        <v>106</v>
      </c>
      <c r="H497" s="3">
        <v>-11177700</v>
      </c>
      <c r="I497" s="3">
        <v>0</v>
      </c>
      <c r="J497" s="3">
        <v>0</v>
      </c>
      <c r="K497" s="3">
        <v>-11177700</v>
      </c>
      <c r="L497" t="s">
        <v>1071</v>
      </c>
      <c r="M497" t="s">
        <v>1072</v>
      </c>
      <c r="N497" t="s">
        <v>1073</v>
      </c>
      <c r="O497" t="s">
        <v>1074</v>
      </c>
      <c r="P497" t="s">
        <v>1075</v>
      </c>
      <c r="Q497" t="s">
        <v>1076</v>
      </c>
      <c r="R497" t="s">
        <v>1077</v>
      </c>
      <c r="S497" t="s">
        <v>1078</v>
      </c>
      <c r="T497" t="s">
        <v>1079</v>
      </c>
      <c r="U497" t="s">
        <v>1080</v>
      </c>
      <c r="V497" t="s">
        <v>1081</v>
      </c>
      <c r="W497" t="s">
        <v>1082</v>
      </c>
      <c r="X497">
        <v>20240630</v>
      </c>
      <c r="Y497" t="s">
        <v>1083</v>
      </c>
      <c r="Z497" t="s">
        <v>1084</v>
      </c>
      <c r="AA497" s="11" t="str">
        <f t="shared" si="7"/>
        <v>EXEC [dbo].[BalanceGeneralInsertar] @Nivel ='Auxiliar',@Transaccional ='Sí',@CodigoCuentaContable ='41800103', @NombreCuentaContable ='Arrendamientos equipos',@Identificacion ='901000155',@Sucursal ='',@NombreTercero ='DELUXE BY CRISTINA JARAMILLO S.A.S',@SaldoInicial = -11177700,@MovimientoDebito = 0,@MovimientoCredito =0,@SaldoFinal = 0,@Fecha ='20240630',@IdentificacionCliente = '901434038';</v>
      </c>
      <c r="AB497" t="s">
        <v>1085</v>
      </c>
    </row>
    <row r="498" spans="1:28" x14ac:dyDescent="0.25">
      <c r="A498" s="2" t="s">
        <v>28</v>
      </c>
      <c r="B498" s="2" t="s">
        <v>29</v>
      </c>
      <c r="C498" s="2" t="s">
        <v>538</v>
      </c>
      <c r="D498" s="2" t="s">
        <v>539</v>
      </c>
      <c r="E498" s="2" t="s">
        <v>89</v>
      </c>
      <c r="F498" s="2"/>
      <c r="G498" s="2" t="s">
        <v>90</v>
      </c>
      <c r="H498" s="3">
        <v>-45840336</v>
      </c>
      <c r="I498" s="3">
        <v>0</v>
      </c>
      <c r="J498" s="3">
        <v>6722689</v>
      </c>
      <c r="K498" s="3">
        <v>-52563025</v>
      </c>
      <c r="L498" t="s">
        <v>1071</v>
      </c>
      <c r="M498" t="s">
        <v>1072</v>
      </c>
      <c r="N498" t="s">
        <v>1073</v>
      </c>
      <c r="O498" t="s">
        <v>1074</v>
      </c>
      <c r="P498" t="s">
        <v>1075</v>
      </c>
      <c r="Q498" t="s">
        <v>1076</v>
      </c>
      <c r="R498" t="s">
        <v>1077</v>
      </c>
      <c r="S498" t="s">
        <v>1078</v>
      </c>
      <c r="T498" t="s">
        <v>1079</v>
      </c>
      <c r="U498" t="s">
        <v>1080</v>
      </c>
      <c r="V498" t="s">
        <v>1081</v>
      </c>
      <c r="W498" t="s">
        <v>1082</v>
      </c>
      <c r="X498">
        <v>20240630</v>
      </c>
      <c r="Y498" t="s">
        <v>1083</v>
      </c>
      <c r="Z498" t="s">
        <v>1084</v>
      </c>
      <c r="AA498" s="11" t="str">
        <f t="shared" si="7"/>
        <v>EXEC [dbo].[BalanceGeneralInsertar] @Nivel ='Auxiliar',@Transaccional ='Sí',@CodigoCuentaContable ='41800103', @NombreCuentaContable ='Arrendamientos equipos',@Identificacion ='900192072',@Sucursal ='',@NombreTercero ='SEOUL MEDICINA ESTETICA INTEGRAL Y SPA S.A.',@SaldoInicial = -45840336,@MovimientoDebito = 0,@MovimientoCredito =6722689,@SaldoFinal = 6722689,@Fecha ='20240630',@IdentificacionCliente = '901434038';</v>
      </c>
      <c r="AB498" t="s">
        <v>1085</v>
      </c>
    </row>
    <row r="499" spans="1:28" x14ac:dyDescent="0.25">
      <c r="A499" s="2" t="s">
        <v>28</v>
      </c>
      <c r="B499" s="2" t="s">
        <v>29</v>
      </c>
      <c r="C499" s="2" t="s">
        <v>538</v>
      </c>
      <c r="D499" s="2" t="s">
        <v>539</v>
      </c>
      <c r="E499" s="2" t="s">
        <v>139</v>
      </c>
      <c r="F499" s="2"/>
      <c r="G499" s="2" t="s">
        <v>140</v>
      </c>
      <c r="H499" s="3">
        <v>-40562500</v>
      </c>
      <c r="I499" s="3">
        <v>0</v>
      </c>
      <c r="J499" s="3">
        <v>8112500</v>
      </c>
      <c r="K499" s="3">
        <v>-48675000</v>
      </c>
      <c r="L499" t="s">
        <v>1071</v>
      </c>
      <c r="M499" t="s">
        <v>1072</v>
      </c>
      <c r="N499" t="s">
        <v>1073</v>
      </c>
      <c r="O499" t="s">
        <v>1074</v>
      </c>
      <c r="P499" t="s">
        <v>1075</v>
      </c>
      <c r="Q499" t="s">
        <v>1076</v>
      </c>
      <c r="R499" t="s">
        <v>1077</v>
      </c>
      <c r="S499" t="s">
        <v>1078</v>
      </c>
      <c r="T499" t="s">
        <v>1079</v>
      </c>
      <c r="U499" t="s">
        <v>1080</v>
      </c>
      <c r="V499" t="s">
        <v>1081</v>
      </c>
      <c r="W499" t="s">
        <v>1082</v>
      </c>
      <c r="X499">
        <v>20240630</v>
      </c>
      <c r="Y499" t="s">
        <v>1083</v>
      </c>
      <c r="Z499" t="s">
        <v>1084</v>
      </c>
      <c r="AA499" s="11" t="str">
        <f t="shared" si="7"/>
        <v>EXEC [dbo].[BalanceGeneralInsertar] @Nivel ='Auxiliar',@Transaccional ='Sí',@CodigoCuentaContable ='41800103', @NombreCuentaContable ='Arrendamientos equipos',@Identificacion ='900347399',@Sucursal ='',@NombreTercero ='EXPORT HEALTH SAS',@SaldoInicial = -40562500,@MovimientoDebito = 0,@MovimientoCredito =8112500,@SaldoFinal = 8112500,@Fecha ='20240630',@IdentificacionCliente = '901434038';</v>
      </c>
      <c r="AB499" t="s">
        <v>1085</v>
      </c>
    </row>
    <row r="500" spans="1:28" x14ac:dyDescent="0.25">
      <c r="A500" s="2" t="s">
        <v>28</v>
      </c>
      <c r="B500" s="2" t="s">
        <v>29</v>
      </c>
      <c r="C500" s="2" t="s">
        <v>538</v>
      </c>
      <c r="D500" s="2" t="s">
        <v>539</v>
      </c>
      <c r="E500" s="2" t="s">
        <v>79</v>
      </c>
      <c r="F500" s="2"/>
      <c r="G500" s="2" t="s">
        <v>80</v>
      </c>
      <c r="H500" s="3">
        <v>-48403364</v>
      </c>
      <c r="I500" s="3">
        <v>0</v>
      </c>
      <c r="J500" s="3">
        <v>12263135</v>
      </c>
      <c r="K500" s="3">
        <v>-60666499</v>
      </c>
      <c r="L500" t="s">
        <v>1071</v>
      </c>
      <c r="M500" t="s">
        <v>1072</v>
      </c>
      <c r="N500" t="s">
        <v>1073</v>
      </c>
      <c r="O500" t="s">
        <v>1074</v>
      </c>
      <c r="P500" t="s">
        <v>1075</v>
      </c>
      <c r="Q500" t="s">
        <v>1076</v>
      </c>
      <c r="R500" t="s">
        <v>1077</v>
      </c>
      <c r="S500" t="s">
        <v>1078</v>
      </c>
      <c r="T500" t="s">
        <v>1079</v>
      </c>
      <c r="U500" t="s">
        <v>1080</v>
      </c>
      <c r="V500" t="s">
        <v>1081</v>
      </c>
      <c r="W500" t="s">
        <v>1082</v>
      </c>
      <c r="X500">
        <v>20240630</v>
      </c>
      <c r="Y500" t="s">
        <v>1083</v>
      </c>
      <c r="Z500" t="s">
        <v>1084</v>
      </c>
      <c r="AA500" s="11" t="str">
        <f t="shared" si="7"/>
        <v>EXEC [dbo].[BalanceGeneralInsertar] @Nivel ='Auxiliar',@Transaccional ='Sí',@CodigoCuentaContable ='41800103', @NombreCuentaContable ='Arrendamientos equipos',@Identificacion ='901456421',@Sucursal ='',@NombreTercero ='DELUXE ORIENTE S.A.S',@SaldoInicial = -48403364,@MovimientoDebito = 0,@MovimientoCredito =12263135,@SaldoFinal = 12263135,@Fecha ='20240630',@IdentificacionCliente = '901434038';</v>
      </c>
      <c r="AB500" t="s">
        <v>1085</v>
      </c>
    </row>
    <row r="501" spans="1:28" x14ac:dyDescent="0.25">
      <c r="A501" s="2" t="s">
        <v>28</v>
      </c>
      <c r="B501" s="2" t="s">
        <v>29</v>
      </c>
      <c r="C501" s="2" t="s">
        <v>538</v>
      </c>
      <c r="D501" s="2" t="s">
        <v>539</v>
      </c>
      <c r="E501" s="2" t="s">
        <v>141</v>
      </c>
      <c r="F501" s="2"/>
      <c r="G501" s="2" t="s">
        <v>142</v>
      </c>
      <c r="H501" s="3">
        <v>-38836135</v>
      </c>
      <c r="I501" s="3">
        <v>0</v>
      </c>
      <c r="J501" s="3">
        <v>7767227</v>
      </c>
      <c r="K501" s="3">
        <v>-46603362</v>
      </c>
      <c r="L501" t="s">
        <v>1071</v>
      </c>
      <c r="M501" t="s">
        <v>1072</v>
      </c>
      <c r="N501" t="s">
        <v>1073</v>
      </c>
      <c r="O501" t="s">
        <v>1074</v>
      </c>
      <c r="P501" t="s">
        <v>1075</v>
      </c>
      <c r="Q501" t="s">
        <v>1076</v>
      </c>
      <c r="R501" t="s">
        <v>1077</v>
      </c>
      <c r="S501" t="s">
        <v>1078</v>
      </c>
      <c r="T501" t="s">
        <v>1079</v>
      </c>
      <c r="U501" t="s">
        <v>1080</v>
      </c>
      <c r="V501" t="s">
        <v>1081</v>
      </c>
      <c r="W501" t="s">
        <v>1082</v>
      </c>
      <c r="X501">
        <v>20240630</v>
      </c>
      <c r="Y501" t="s">
        <v>1083</v>
      </c>
      <c r="Z501" t="s">
        <v>1084</v>
      </c>
      <c r="AA501" s="11" t="str">
        <f t="shared" si="7"/>
        <v>EXEC [dbo].[BalanceGeneralInsertar] @Nivel ='Auxiliar',@Transaccional ='Sí',@CodigoCuentaContable ='41800103', @NombreCuentaContable ='Arrendamientos equipos',@Identificacion ='901451874',@Sucursal ='',@NombreTercero ='CABARCAS GROUP S.A.S.',@SaldoInicial = -38836135,@MovimientoDebito = 0,@MovimientoCredito =7767227,@SaldoFinal = 7767227,@Fecha ='20240630',@IdentificacionCliente = '901434038';</v>
      </c>
      <c r="AB501" t="s">
        <v>1085</v>
      </c>
    </row>
    <row r="502" spans="1:28" x14ac:dyDescent="0.25">
      <c r="A502" s="2" t="s">
        <v>28</v>
      </c>
      <c r="B502" s="2" t="s">
        <v>29</v>
      </c>
      <c r="C502" s="2" t="s">
        <v>538</v>
      </c>
      <c r="D502" s="2" t="s">
        <v>539</v>
      </c>
      <c r="E502" s="2" t="s">
        <v>85</v>
      </c>
      <c r="F502" s="2"/>
      <c r="G502" s="2" t="s">
        <v>86</v>
      </c>
      <c r="H502" s="3">
        <v>-40550485</v>
      </c>
      <c r="I502" s="3">
        <v>0</v>
      </c>
      <c r="J502" s="3">
        <v>6794139</v>
      </c>
      <c r="K502" s="3">
        <v>-47344624</v>
      </c>
      <c r="L502" t="s">
        <v>1071</v>
      </c>
      <c r="M502" t="s">
        <v>1072</v>
      </c>
      <c r="N502" t="s">
        <v>1073</v>
      </c>
      <c r="O502" t="s">
        <v>1074</v>
      </c>
      <c r="P502" t="s">
        <v>1075</v>
      </c>
      <c r="Q502" t="s">
        <v>1076</v>
      </c>
      <c r="R502" t="s">
        <v>1077</v>
      </c>
      <c r="S502" t="s">
        <v>1078</v>
      </c>
      <c r="T502" t="s">
        <v>1079</v>
      </c>
      <c r="U502" t="s">
        <v>1080</v>
      </c>
      <c r="V502" t="s">
        <v>1081</v>
      </c>
      <c r="W502" t="s">
        <v>1082</v>
      </c>
      <c r="X502">
        <v>20240630</v>
      </c>
      <c r="Y502" t="s">
        <v>1083</v>
      </c>
      <c r="Z502" t="s">
        <v>1084</v>
      </c>
      <c r="AA502" s="11" t="str">
        <f t="shared" si="7"/>
        <v>EXEC [dbo].[BalanceGeneralInsertar] @Nivel ='Auxiliar',@Transaccional ='Sí',@CodigoCuentaContable ='41800103', @NombreCuentaContable ='Arrendamientos equipos',@Identificacion ='901476016',@Sucursal ='',@NombreTercero ='ALESTETIC RIONEGRO S.A.S',@SaldoInicial = -40550485,@MovimientoDebito = 0,@MovimientoCredito =6794139,@SaldoFinal = 6794139,@Fecha ='20240630',@IdentificacionCliente = '901434038';</v>
      </c>
      <c r="AB502" t="s">
        <v>1085</v>
      </c>
    </row>
    <row r="503" spans="1:28" x14ac:dyDescent="0.25">
      <c r="A503" s="2" t="s">
        <v>28</v>
      </c>
      <c r="B503" s="2" t="s">
        <v>29</v>
      </c>
      <c r="C503" s="2" t="s">
        <v>538</v>
      </c>
      <c r="D503" s="2" t="s">
        <v>539</v>
      </c>
      <c r="E503" s="2" t="s">
        <v>67</v>
      </c>
      <c r="F503" s="2"/>
      <c r="G503" s="2" t="s">
        <v>68</v>
      </c>
      <c r="H503" s="3">
        <v>-23424370</v>
      </c>
      <c r="I503" s="3">
        <v>0</v>
      </c>
      <c r="J503" s="3">
        <v>4684874</v>
      </c>
      <c r="K503" s="3">
        <v>-28109244</v>
      </c>
      <c r="L503" t="s">
        <v>1071</v>
      </c>
      <c r="M503" t="s">
        <v>1072</v>
      </c>
      <c r="N503" t="s">
        <v>1073</v>
      </c>
      <c r="O503" t="s">
        <v>1074</v>
      </c>
      <c r="P503" t="s">
        <v>1075</v>
      </c>
      <c r="Q503" t="s">
        <v>1076</v>
      </c>
      <c r="R503" t="s">
        <v>1077</v>
      </c>
      <c r="S503" t="s">
        <v>1078</v>
      </c>
      <c r="T503" t="s">
        <v>1079</v>
      </c>
      <c r="U503" t="s">
        <v>1080</v>
      </c>
      <c r="V503" t="s">
        <v>1081</v>
      </c>
      <c r="W503" t="s">
        <v>1082</v>
      </c>
      <c r="X503">
        <v>20240630</v>
      </c>
      <c r="Y503" t="s">
        <v>1083</v>
      </c>
      <c r="Z503" t="s">
        <v>1084</v>
      </c>
      <c r="AA503" s="11" t="str">
        <f t="shared" si="7"/>
        <v>EXEC [dbo].[BalanceGeneralInsertar] @Nivel ='Auxiliar',@Transaccional ='Sí',@CodigoCuentaContable ='41800103', @NombreCuentaContable ='Arrendamientos equipos',@Identificacion ='805020770',@Sucursal ='',@NombreTercero ='EUTOESTETICA SAS',@SaldoInicial = -23424370,@MovimientoDebito = 0,@MovimientoCredito =4684874,@SaldoFinal = 4684874,@Fecha ='20240630',@IdentificacionCliente = '901434038';</v>
      </c>
      <c r="AB503" t="s">
        <v>1085</v>
      </c>
    </row>
    <row r="504" spans="1:28" x14ac:dyDescent="0.25">
      <c r="A504" s="2" t="s">
        <v>28</v>
      </c>
      <c r="B504" s="2" t="s">
        <v>29</v>
      </c>
      <c r="C504" s="2" t="s">
        <v>538</v>
      </c>
      <c r="D504" s="2" t="s">
        <v>539</v>
      </c>
      <c r="E504" s="2" t="s">
        <v>71</v>
      </c>
      <c r="F504" s="2"/>
      <c r="G504" s="2" t="s">
        <v>72</v>
      </c>
      <c r="H504" s="3">
        <v>-47257020</v>
      </c>
      <c r="I504" s="3">
        <v>0</v>
      </c>
      <c r="J504" s="3">
        <v>11086309</v>
      </c>
      <c r="K504" s="3">
        <v>-58343329</v>
      </c>
      <c r="L504" t="s">
        <v>1071</v>
      </c>
      <c r="M504" t="s">
        <v>1072</v>
      </c>
      <c r="N504" t="s">
        <v>1073</v>
      </c>
      <c r="O504" t="s">
        <v>1074</v>
      </c>
      <c r="P504" t="s">
        <v>1075</v>
      </c>
      <c r="Q504" t="s">
        <v>1076</v>
      </c>
      <c r="R504" t="s">
        <v>1077</v>
      </c>
      <c r="S504" t="s">
        <v>1078</v>
      </c>
      <c r="T504" t="s">
        <v>1079</v>
      </c>
      <c r="U504" t="s">
        <v>1080</v>
      </c>
      <c r="V504" t="s">
        <v>1081</v>
      </c>
      <c r="W504" t="s">
        <v>1082</v>
      </c>
      <c r="X504">
        <v>20240630</v>
      </c>
      <c r="Y504" t="s">
        <v>1083</v>
      </c>
      <c r="Z504" t="s">
        <v>1084</v>
      </c>
      <c r="AA504" s="11" t="str">
        <f t="shared" si="7"/>
        <v>EXEC [dbo].[BalanceGeneralInsertar] @Nivel ='Auxiliar',@Transaccional ='Sí',@CodigoCuentaContable ='41800103', @NombreCuentaContable ='Arrendamientos equipos',@Identificacion ='901477526',@Sucursal ='',@NombreTercero ='SABANA MEDICAL SPA SAS',@SaldoInicial = -47257020,@MovimientoDebito = 0,@MovimientoCredito =11086309,@SaldoFinal = 11086309,@Fecha ='20240630',@IdentificacionCliente = '901434038';</v>
      </c>
      <c r="AB504" t="s">
        <v>1085</v>
      </c>
    </row>
    <row r="505" spans="1:28" x14ac:dyDescent="0.25">
      <c r="A505" s="2" t="s">
        <v>28</v>
      </c>
      <c r="B505" s="2" t="s">
        <v>29</v>
      </c>
      <c r="C505" s="2" t="s">
        <v>538</v>
      </c>
      <c r="D505" s="2" t="s">
        <v>539</v>
      </c>
      <c r="E505" s="2" t="s">
        <v>73</v>
      </c>
      <c r="F505" s="2"/>
      <c r="G505" s="2" t="s">
        <v>74</v>
      </c>
      <c r="H505" s="3" t="s">
        <v>998</v>
      </c>
      <c r="I505" s="3">
        <v>0</v>
      </c>
      <c r="J505" s="3">
        <v>19036879</v>
      </c>
      <c r="K505" s="3" t="s">
        <v>999</v>
      </c>
      <c r="L505" t="s">
        <v>1071</v>
      </c>
      <c r="M505" t="s">
        <v>1072</v>
      </c>
      <c r="N505" t="s">
        <v>1073</v>
      </c>
      <c r="O505" t="s">
        <v>1074</v>
      </c>
      <c r="P505" t="s">
        <v>1075</v>
      </c>
      <c r="Q505" t="s">
        <v>1076</v>
      </c>
      <c r="R505" t="s">
        <v>1077</v>
      </c>
      <c r="S505" t="s">
        <v>1078</v>
      </c>
      <c r="T505" t="s">
        <v>1079</v>
      </c>
      <c r="U505" t="s">
        <v>1080</v>
      </c>
      <c r="V505" t="s">
        <v>1081</v>
      </c>
      <c r="W505" t="s">
        <v>1082</v>
      </c>
      <c r="X505">
        <v>20240630</v>
      </c>
      <c r="Y505" t="s">
        <v>1083</v>
      </c>
      <c r="Z505" t="s">
        <v>1084</v>
      </c>
      <c r="AA505" s="11" t="str">
        <f t="shared" si="7"/>
        <v>EXEC [dbo].[BalanceGeneralInsertar] @Nivel ='Auxiliar',@Transaccional ='Sí',@CodigoCuentaContable ='41800103', @NombreCuentaContable ='Arrendamientos equipos',@Identificacion ='901020041',@Sucursal ='',@NombreTercero ='BENESSERE S.A.S',@SaldoInicial = -134489249.98,@MovimientoDebito = 0,@MovimientoCredito =19036879,@SaldoFinal = 19036879,@Fecha ='20240630',@IdentificacionCliente = '901434038';</v>
      </c>
      <c r="AB505" t="s">
        <v>1085</v>
      </c>
    </row>
    <row r="506" spans="1:28" x14ac:dyDescent="0.25">
      <c r="A506" s="2" t="s">
        <v>28</v>
      </c>
      <c r="B506" s="2" t="s">
        <v>29</v>
      </c>
      <c r="C506" s="2" t="s">
        <v>538</v>
      </c>
      <c r="D506" s="2" t="s">
        <v>539</v>
      </c>
      <c r="E506" s="2" t="s">
        <v>51</v>
      </c>
      <c r="F506" s="2"/>
      <c r="G506" s="2" t="s">
        <v>52</v>
      </c>
      <c r="H506" s="3">
        <v>-27427640</v>
      </c>
      <c r="I506" s="3">
        <v>0</v>
      </c>
      <c r="J506" s="3">
        <v>5485528</v>
      </c>
      <c r="K506" s="3">
        <v>-32913168</v>
      </c>
      <c r="L506" t="s">
        <v>1071</v>
      </c>
      <c r="M506" t="s">
        <v>1072</v>
      </c>
      <c r="N506" t="s">
        <v>1073</v>
      </c>
      <c r="O506" t="s">
        <v>1074</v>
      </c>
      <c r="P506" t="s">
        <v>1075</v>
      </c>
      <c r="Q506" t="s">
        <v>1076</v>
      </c>
      <c r="R506" t="s">
        <v>1077</v>
      </c>
      <c r="S506" t="s">
        <v>1078</v>
      </c>
      <c r="T506" t="s">
        <v>1079</v>
      </c>
      <c r="U506" t="s">
        <v>1080</v>
      </c>
      <c r="V506" t="s">
        <v>1081</v>
      </c>
      <c r="W506" t="s">
        <v>1082</v>
      </c>
      <c r="X506">
        <v>20240630</v>
      </c>
      <c r="Y506" t="s">
        <v>1083</v>
      </c>
      <c r="Z506" t="s">
        <v>1084</v>
      </c>
      <c r="AA506" s="11" t="str">
        <f t="shared" si="7"/>
        <v>EXEC [dbo].[BalanceGeneralInsertar] @Nivel ='Auxiliar',@Transaccional ='Sí',@CodigoCuentaContable ='41800103', @NombreCuentaContable ='Arrendamientos equipos',@Identificacion ='901733873',@Sucursal ='',@NombreTercero ='AV SALUD INTEGRAL SAS',@SaldoInicial = -27427640,@MovimientoDebito = 0,@MovimientoCredito =5485528,@SaldoFinal = 5485528,@Fecha ='20240630',@IdentificacionCliente = '901434038';</v>
      </c>
      <c r="AB506" t="s">
        <v>1085</v>
      </c>
    </row>
    <row r="507" spans="1:28" x14ac:dyDescent="0.25">
      <c r="A507" s="2" t="s">
        <v>28</v>
      </c>
      <c r="B507" s="2" t="s">
        <v>29</v>
      </c>
      <c r="C507" s="2" t="s">
        <v>538</v>
      </c>
      <c r="D507" s="2" t="s">
        <v>539</v>
      </c>
      <c r="E507" s="2" t="s">
        <v>57</v>
      </c>
      <c r="F507" s="2"/>
      <c r="G507" s="2" t="s">
        <v>58</v>
      </c>
      <c r="H507" s="3">
        <v>-41221054</v>
      </c>
      <c r="I507" s="3">
        <v>0</v>
      </c>
      <c r="J507" s="3">
        <v>6218487</v>
      </c>
      <c r="K507" s="3">
        <v>-47439541</v>
      </c>
      <c r="L507" t="s">
        <v>1071</v>
      </c>
      <c r="M507" t="s">
        <v>1072</v>
      </c>
      <c r="N507" t="s">
        <v>1073</v>
      </c>
      <c r="O507" t="s">
        <v>1074</v>
      </c>
      <c r="P507" t="s">
        <v>1075</v>
      </c>
      <c r="Q507" t="s">
        <v>1076</v>
      </c>
      <c r="R507" t="s">
        <v>1077</v>
      </c>
      <c r="S507" t="s">
        <v>1078</v>
      </c>
      <c r="T507" t="s">
        <v>1079</v>
      </c>
      <c r="U507" t="s">
        <v>1080</v>
      </c>
      <c r="V507" t="s">
        <v>1081</v>
      </c>
      <c r="W507" t="s">
        <v>1082</v>
      </c>
      <c r="X507">
        <v>20240630</v>
      </c>
      <c r="Y507" t="s">
        <v>1083</v>
      </c>
      <c r="Z507" t="s">
        <v>1084</v>
      </c>
      <c r="AA507" s="11" t="str">
        <f t="shared" si="7"/>
        <v>EXEC [dbo].[BalanceGeneralInsertar] @Nivel ='Auxiliar',@Transaccional ='Sí',@CodigoCuentaContable ='41800103', @NombreCuentaContable ='Arrendamientos equipos',@Identificacion ='901745690',@Sucursal ='',@NombreTercero ='JOHANNA DAZA MEDICINA ANTIENVEJECIMIENTO S.A.S.',@SaldoInicial = -41221054,@MovimientoDebito = 0,@MovimientoCredito =6218487,@SaldoFinal = 6218487,@Fecha ='20240630',@IdentificacionCliente = '901434038';</v>
      </c>
      <c r="AB507" t="s">
        <v>1085</v>
      </c>
    </row>
    <row r="508" spans="1:28" x14ac:dyDescent="0.25">
      <c r="A508" s="2" t="s">
        <v>19</v>
      </c>
      <c r="B508" s="2" t="s">
        <v>16</v>
      </c>
      <c r="C508" s="2" t="s">
        <v>540</v>
      </c>
      <c r="D508" s="2" t="s">
        <v>541</v>
      </c>
      <c r="E508" s="2"/>
      <c r="F508" s="2"/>
      <c r="G508" s="2"/>
      <c r="H508" s="3" t="s">
        <v>1000</v>
      </c>
      <c r="I508" s="3">
        <v>0</v>
      </c>
      <c r="J508" s="3" t="s">
        <v>1001</v>
      </c>
      <c r="K508" s="3" t="s">
        <v>1002</v>
      </c>
      <c r="L508" t="s">
        <v>1071</v>
      </c>
      <c r="M508" t="s">
        <v>1072</v>
      </c>
      <c r="N508" t="s">
        <v>1073</v>
      </c>
      <c r="O508" t="s">
        <v>1074</v>
      </c>
      <c r="P508" t="s">
        <v>1075</v>
      </c>
      <c r="Q508" t="s">
        <v>1076</v>
      </c>
      <c r="R508" t="s">
        <v>1077</v>
      </c>
      <c r="S508" t="s">
        <v>1078</v>
      </c>
      <c r="T508" t="s">
        <v>1079</v>
      </c>
      <c r="U508" t="s">
        <v>1080</v>
      </c>
      <c r="V508" t="s">
        <v>1081</v>
      </c>
      <c r="W508" t="s">
        <v>1082</v>
      </c>
      <c r="X508">
        <v>20240630</v>
      </c>
      <c r="Y508" t="s">
        <v>1083</v>
      </c>
      <c r="Z508" t="s">
        <v>1084</v>
      </c>
      <c r="AA508" s="11" t="str">
        <f t="shared" si="7"/>
        <v>EXEC [dbo].[BalanceGeneralInsertar] @Nivel ='Grupo',@Transaccional ='No',@CodigoCuentaContable ='42', @NombreCuentaContable ='Otros ingresos de actividades ordinarias',@Identificacion ='',@Sucursal ='',@NombreTercero ='',@SaldoInicial = -9462444.92,@MovimientoDebito = 0,@MovimientoCredito =3613205.23,@SaldoFinal = 3613205.23,@Fecha ='20240630',@IdentificacionCliente = '901434038';</v>
      </c>
      <c r="AB508" t="s">
        <v>1085</v>
      </c>
    </row>
    <row r="509" spans="1:28" x14ac:dyDescent="0.25">
      <c r="A509" s="2" t="s">
        <v>22</v>
      </c>
      <c r="B509" s="2" t="s">
        <v>16</v>
      </c>
      <c r="C509" s="2" t="s">
        <v>542</v>
      </c>
      <c r="D509" s="2" t="s">
        <v>543</v>
      </c>
      <c r="E509" s="2"/>
      <c r="F509" s="2"/>
      <c r="G509" s="2"/>
      <c r="H509" s="3" t="s">
        <v>1003</v>
      </c>
      <c r="I509" s="3">
        <v>0</v>
      </c>
      <c r="J509" s="3" t="s">
        <v>1004</v>
      </c>
      <c r="K509" s="3" t="s">
        <v>1005</v>
      </c>
      <c r="L509" t="s">
        <v>1071</v>
      </c>
      <c r="M509" t="s">
        <v>1072</v>
      </c>
      <c r="N509" t="s">
        <v>1073</v>
      </c>
      <c r="O509" t="s">
        <v>1074</v>
      </c>
      <c r="P509" t="s">
        <v>1075</v>
      </c>
      <c r="Q509" t="s">
        <v>1076</v>
      </c>
      <c r="R509" t="s">
        <v>1077</v>
      </c>
      <c r="S509" t="s">
        <v>1078</v>
      </c>
      <c r="T509" t="s">
        <v>1079</v>
      </c>
      <c r="U509" t="s">
        <v>1080</v>
      </c>
      <c r="V509" t="s">
        <v>1081</v>
      </c>
      <c r="W509" t="s">
        <v>1082</v>
      </c>
      <c r="X509">
        <v>20240630</v>
      </c>
      <c r="Y509" t="s">
        <v>1083</v>
      </c>
      <c r="Z509" t="s">
        <v>1084</v>
      </c>
      <c r="AA509" s="11" t="str">
        <f t="shared" si="7"/>
        <v>EXEC [dbo].[BalanceGeneralInsertar] @Nivel ='Cuenta',@Transaccional ='No',@CodigoCuentaContable ='4210', @NombreCuentaContable ='Financieros',@Identificacion ='',@Sucursal ='',@NombreTercero ='',@SaldoInicial = -9460781.1,@MovimientoDebito = 0,@MovimientoCredito =3613204.27,@SaldoFinal = 3613204.27,@Fecha ='20240630',@IdentificacionCliente = '901434038';</v>
      </c>
      <c r="AB509" t="s">
        <v>1085</v>
      </c>
    </row>
    <row r="510" spans="1:28" x14ac:dyDescent="0.25">
      <c r="A510" s="2" t="s">
        <v>25</v>
      </c>
      <c r="B510" s="2" t="s">
        <v>16</v>
      </c>
      <c r="C510" s="2" t="s">
        <v>544</v>
      </c>
      <c r="D510" s="2" t="s">
        <v>545</v>
      </c>
      <c r="E510" s="2"/>
      <c r="F510" s="2"/>
      <c r="G510" s="2"/>
      <c r="H510" s="3" t="s">
        <v>1006</v>
      </c>
      <c r="I510" s="3">
        <v>0</v>
      </c>
      <c r="J510" s="3" t="s">
        <v>1004</v>
      </c>
      <c r="K510" s="3" t="s">
        <v>1007</v>
      </c>
      <c r="L510" t="s">
        <v>1071</v>
      </c>
      <c r="M510" t="s">
        <v>1072</v>
      </c>
      <c r="N510" t="s">
        <v>1073</v>
      </c>
      <c r="O510" t="s">
        <v>1074</v>
      </c>
      <c r="P510" t="s">
        <v>1075</v>
      </c>
      <c r="Q510" t="s">
        <v>1076</v>
      </c>
      <c r="R510" t="s">
        <v>1077</v>
      </c>
      <c r="S510" t="s">
        <v>1078</v>
      </c>
      <c r="T510" t="s">
        <v>1079</v>
      </c>
      <c r="U510" t="s">
        <v>1080</v>
      </c>
      <c r="V510" t="s">
        <v>1081</v>
      </c>
      <c r="W510" t="s">
        <v>1082</v>
      </c>
      <c r="X510">
        <v>20240630</v>
      </c>
      <c r="Y510" t="s">
        <v>1083</v>
      </c>
      <c r="Z510" t="s">
        <v>1084</v>
      </c>
      <c r="AA510" s="11" t="str">
        <f t="shared" si="7"/>
        <v>EXEC [dbo].[BalanceGeneralInsertar] @Nivel ='Subcuenta',@Transaccional ='No',@CodigoCuentaContable ='421025', @NombreCuentaContable ='Intereses financieros ',@Identificacion ='',@Sucursal ='',@NombreTercero ='',@SaldoInicial = -8412709.88,@MovimientoDebito = 0,@MovimientoCredito =3613204.27,@SaldoFinal = 3613204.27,@Fecha ='20240630',@IdentificacionCliente = '901434038';</v>
      </c>
      <c r="AB510" t="s">
        <v>1085</v>
      </c>
    </row>
    <row r="511" spans="1:28" x14ac:dyDescent="0.25">
      <c r="A511" s="2" t="s">
        <v>28</v>
      </c>
      <c r="B511" s="2" t="s">
        <v>29</v>
      </c>
      <c r="C511" s="2" t="s">
        <v>546</v>
      </c>
      <c r="D511" s="2" t="s">
        <v>545</v>
      </c>
      <c r="E511" s="2" t="s">
        <v>87</v>
      </c>
      <c r="F511" s="2"/>
      <c r="G511" s="2" t="s">
        <v>88</v>
      </c>
      <c r="H511" s="3">
        <v>-30744</v>
      </c>
      <c r="I511" s="3">
        <v>0</v>
      </c>
      <c r="J511" s="3">
        <v>0</v>
      </c>
      <c r="K511" s="3">
        <v>-30744</v>
      </c>
      <c r="L511" t="s">
        <v>1071</v>
      </c>
      <c r="M511" t="s">
        <v>1072</v>
      </c>
      <c r="N511" t="s">
        <v>1073</v>
      </c>
      <c r="O511" t="s">
        <v>1074</v>
      </c>
      <c r="P511" t="s">
        <v>1075</v>
      </c>
      <c r="Q511" t="s">
        <v>1076</v>
      </c>
      <c r="R511" t="s">
        <v>1077</v>
      </c>
      <c r="S511" t="s">
        <v>1078</v>
      </c>
      <c r="T511" t="s">
        <v>1079</v>
      </c>
      <c r="U511" t="s">
        <v>1080</v>
      </c>
      <c r="V511" t="s">
        <v>1081</v>
      </c>
      <c r="W511" t="s">
        <v>1082</v>
      </c>
      <c r="X511">
        <v>20240630</v>
      </c>
      <c r="Y511" t="s">
        <v>1083</v>
      </c>
      <c r="Z511" t="s">
        <v>1084</v>
      </c>
      <c r="AA511" s="11" t="str">
        <f t="shared" si="7"/>
        <v>EXEC [dbo].[BalanceGeneralInsertar] @Nivel ='Auxiliar',@Transaccional ='Sí',@CodigoCuentaContable ='42102501', @NombreCuentaContable ='Intereses financieros ',@Identificacion ='830054539',@Sucursal ='',@NombreTercero ='FIDUCIARIA BANCOLOMBIA S.A',@SaldoInicial = -30744,@MovimientoDebito = 0,@MovimientoCredito =0,@SaldoFinal = 0,@Fecha ='20240630',@IdentificacionCliente = '901434038';</v>
      </c>
      <c r="AB511" t="s">
        <v>1085</v>
      </c>
    </row>
    <row r="512" spans="1:28" x14ac:dyDescent="0.25">
      <c r="A512" s="2" t="s">
        <v>28</v>
      </c>
      <c r="B512" s="2" t="s">
        <v>29</v>
      </c>
      <c r="C512" s="2" t="s">
        <v>546</v>
      </c>
      <c r="D512" s="2" t="s">
        <v>545</v>
      </c>
      <c r="E512" s="2" t="s">
        <v>57</v>
      </c>
      <c r="F512" s="2"/>
      <c r="G512" s="2" t="s">
        <v>58</v>
      </c>
      <c r="H512" s="3">
        <v>-5891665</v>
      </c>
      <c r="I512" s="3">
        <v>0</v>
      </c>
      <c r="J512" s="3">
        <v>1108333</v>
      </c>
      <c r="K512" s="3">
        <v>-6999998</v>
      </c>
      <c r="L512" t="s">
        <v>1071</v>
      </c>
      <c r="M512" t="s">
        <v>1072</v>
      </c>
      <c r="N512" t="s">
        <v>1073</v>
      </c>
      <c r="O512" t="s">
        <v>1074</v>
      </c>
      <c r="P512" t="s">
        <v>1075</v>
      </c>
      <c r="Q512" t="s">
        <v>1076</v>
      </c>
      <c r="R512" t="s">
        <v>1077</v>
      </c>
      <c r="S512" t="s">
        <v>1078</v>
      </c>
      <c r="T512" t="s">
        <v>1079</v>
      </c>
      <c r="U512" t="s">
        <v>1080</v>
      </c>
      <c r="V512" t="s">
        <v>1081</v>
      </c>
      <c r="W512" t="s">
        <v>1082</v>
      </c>
      <c r="X512">
        <v>20240630</v>
      </c>
      <c r="Y512" t="s">
        <v>1083</v>
      </c>
      <c r="Z512" t="s">
        <v>1084</v>
      </c>
      <c r="AA512" s="11" t="str">
        <f t="shared" si="7"/>
        <v>EXEC [dbo].[BalanceGeneralInsertar] @Nivel ='Auxiliar',@Transaccional ='Sí',@CodigoCuentaContable ='42102501', @NombreCuentaContable ='Intereses financieros ',@Identificacion ='901745690',@Sucursal ='',@NombreTercero ='JOHANNA DAZA MEDICINA ANTIENVEJECIMIENTO S.A.S.',@SaldoInicial = -5891665,@MovimientoDebito = 0,@MovimientoCredito =1108333,@SaldoFinal = 1108333,@Fecha ='20240630',@IdentificacionCliente = '901434038';</v>
      </c>
      <c r="AB512" t="s">
        <v>1085</v>
      </c>
    </row>
    <row r="513" spans="1:28" x14ac:dyDescent="0.25">
      <c r="A513" s="2" t="s">
        <v>28</v>
      </c>
      <c r="B513" s="2" t="s">
        <v>29</v>
      </c>
      <c r="C513" s="2" t="s">
        <v>546</v>
      </c>
      <c r="D513" s="2" t="s">
        <v>545</v>
      </c>
      <c r="E513" s="2" t="s">
        <v>35</v>
      </c>
      <c r="F513" s="2"/>
      <c r="G513" s="2" t="s">
        <v>36</v>
      </c>
      <c r="H513" s="3">
        <v>-20701</v>
      </c>
      <c r="I513" s="3">
        <v>0</v>
      </c>
      <c r="J513" s="3" t="s">
        <v>1008</v>
      </c>
      <c r="K513" s="3" t="s">
        <v>1009</v>
      </c>
      <c r="L513" t="s">
        <v>1071</v>
      </c>
      <c r="M513" t="s">
        <v>1072</v>
      </c>
      <c r="N513" t="s">
        <v>1073</v>
      </c>
      <c r="O513" t="s">
        <v>1074</v>
      </c>
      <c r="P513" t="s">
        <v>1075</v>
      </c>
      <c r="Q513" t="s">
        <v>1076</v>
      </c>
      <c r="R513" t="s">
        <v>1077</v>
      </c>
      <c r="S513" t="s">
        <v>1078</v>
      </c>
      <c r="T513" t="s">
        <v>1079</v>
      </c>
      <c r="U513" t="s">
        <v>1080</v>
      </c>
      <c r="V513" t="s">
        <v>1081</v>
      </c>
      <c r="W513" t="s">
        <v>1082</v>
      </c>
      <c r="X513">
        <v>20240630</v>
      </c>
      <c r="Y513" t="s">
        <v>1083</v>
      </c>
      <c r="Z513" t="s">
        <v>1084</v>
      </c>
      <c r="AA513" s="11" t="str">
        <f t="shared" si="7"/>
        <v>EXEC [dbo].[BalanceGeneralInsertar] @Nivel ='Auxiliar',@Transaccional ='Sí',@CodigoCuentaContable ='42102501', @NombreCuentaContable ='Intereses financieros ',@Identificacion ='890903938',@Sucursal ='',@NombreTercero ='Bancolombia',@SaldoInicial = -20701,@MovimientoDebito = 0,@MovimientoCredito =5642.09,@SaldoFinal = 5642.09,@Fecha ='20240630',@IdentificacionCliente = '901434038';</v>
      </c>
      <c r="AB513" t="s">
        <v>1085</v>
      </c>
    </row>
    <row r="514" spans="1:28" x14ac:dyDescent="0.25">
      <c r="A514" s="2" t="s">
        <v>28</v>
      </c>
      <c r="B514" s="2" t="s">
        <v>29</v>
      </c>
      <c r="C514" s="2" t="s">
        <v>546</v>
      </c>
      <c r="D514" s="2" t="s">
        <v>545</v>
      </c>
      <c r="E514" s="2" t="s">
        <v>125</v>
      </c>
      <c r="F514" s="2"/>
      <c r="G514" s="2" t="s">
        <v>126</v>
      </c>
      <c r="H514" s="3">
        <v>-2</v>
      </c>
      <c r="I514" s="3">
        <v>0</v>
      </c>
      <c r="J514" s="3">
        <v>0</v>
      </c>
      <c r="K514" s="3">
        <v>-2</v>
      </c>
      <c r="L514" t="s">
        <v>1071</v>
      </c>
      <c r="M514" t="s">
        <v>1072</v>
      </c>
      <c r="N514" t="s">
        <v>1073</v>
      </c>
      <c r="O514" t="s">
        <v>1074</v>
      </c>
      <c r="P514" t="s">
        <v>1075</v>
      </c>
      <c r="Q514" t="s">
        <v>1076</v>
      </c>
      <c r="R514" t="s">
        <v>1077</v>
      </c>
      <c r="S514" t="s">
        <v>1078</v>
      </c>
      <c r="T514" t="s">
        <v>1079</v>
      </c>
      <c r="U514" t="s">
        <v>1080</v>
      </c>
      <c r="V514" t="s">
        <v>1081</v>
      </c>
      <c r="W514" t="s">
        <v>1082</v>
      </c>
      <c r="X514">
        <v>20240630</v>
      </c>
      <c r="Y514" t="s">
        <v>1083</v>
      </c>
      <c r="Z514" t="s">
        <v>1084</v>
      </c>
      <c r="AA514" s="11" t="str">
        <f t="shared" si="7"/>
        <v>EXEC [dbo].[BalanceGeneralInsertar] @Nivel ='Auxiliar',@Transaccional ='Sí',@CodigoCuentaContable ='42102501', @NombreCuentaContable ='Intereses financieros ',@Identificacion ='860003020',@Sucursal ='',@NombreTercero ='BBVA',@SaldoInicial = -2,@MovimientoDebito = 0,@MovimientoCredito =0,@SaldoFinal = 0,@Fecha ='20240630',@IdentificacionCliente = '901434038';</v>
      </c>
      <c r="AB514" t="s">
        <v>1085</v>
      </c>
    </row>
    <row r="515" spans="1:28" x14ac:dyDescent="0.25">
      <c r="A515" s="2" t="s">
        <v>28</v>
      </c>
      <c r="B515" s="2" t="s">
        <v>29</v>
      </c>
      <c r="C515" s="2" t="s">
        <v>546</v>
      </c>
      <c r="D515" s="2" t="s">
        <v>545</v>
      </c>
      <c r="E515" s="2" t="s">
        <v>105</v>
      </c>
      <c r="F515" s="2"/>
      <c r="G515" s="2" t="s">
        <v>106</v>
      </c>
      <c r="H515" s="3">
        <v>-2200000</v>
      </c>
      <c r="I515" s="3">
        <v>0</v>
      </c>
      <c r="J515" s="3">
        <v>2200000</v>
      </c>
      <c r="K515" s="3">
        <v>-4400000</v>
      </c>
      <c r="L515" t="s">
        <v>1071</v>
      </c>
      <c r="M515" t="s">
        <v>1072</v>
      </c>
      <c r="N515" t="s">
        <v>1073</v>
      </c>
      <c r="O515" t="s">
        <v>1074</v>
      </c>
      <c r="P515" t="s">
        <v>1075</v>
      </c>
      <c r="Q515" t="s">
        <v>1076</v>
      </c>
      <c r="R515" t="s">
        <v>1077</v>
      </c>
      <c r="S515" t="s">
        <v>1078</v>
      </c>
      <c r="T515" t="s">
        <v>1079</v>
      </c>
      <c r="U515" t="s">
        <v>1080</v>
      </c>
      <c r="V515" t="s">
        <v>1081</v>
      </c>
      <c r="W515" t="s">
        <v>1082</v>
      </c>
      <c r="X515">
        <v>20240630</v>
      </c>
      <c r="Y515" t="s">
        <v>1083</v>
      </c>
      <c r="Z515" t="s">
        <v>1084</v>
      </c>
      <c r="AA515" s="11" t="str">
        <f t="shared" si="7"/>
        <v>EXEC [dbo].[BalanceGeneralInsertar] @Nivel ='Auxiliar',@Transaccional ='Sí',@CodigoCuentaContable ='42102501', @NombreCuentaContable ='Intereses financieros ',@Identificacion ='901000155',@Sucursal ='',@NombreTercero ='DELUXE BY CRISTINA JARAMILLO S.A.S',@SaldoInicial = -2200000,@MovimientoDebito = 0,@MovimientoCredito =2200000,@SaldoFinal = 2200000,@Fecha ='20240630',@IdentificacionCliente = '901434038';</v>
      </c>
      <c r="AB515" t="s">
        <v>1085</v>
      </c>
    </row>
    <row r="516" spans="1:28" x14ac:dyDescent="0.25">
      <c r="A516" s="2" t="s">
        <v>28</v>
      </c>
      <c r="B516" s="2" t="s">
        <v>29</v>
      </c>
      <c r="C516" s="2" t="s">
        <v>546</v>
      </c>
      <c r="D516" s="2" t="s">
        <v>545</v>
      </c>
      <c r="E516" s="2" t="s">
        <v>107</v>
      </c>
      <c r="F516" s="2"/>
      <c r="G516" s="2" t="s">
        <v>108</v>
      </c>
      <c r="H516" s="3" t="s">
        <v>1010</v>
      </c>
      <c r="I516" s="3">
        <v>0</v>
      </c>
      <c r="J516" s="3" t="s">
        <v>1011</v>
      </c>
      <c r="K516" s="3" t="s">
        <v>1012</v>
      </c>
      <c r="L516" t="s">
        <v>1071</v>
      </c>
      <c r="M516" t="s">
        <v>1072</v>
      </c>
      <c r="N516" t="s">
        <v>1073</v>
      </c>
      <c r="O516" t="s">
        <v>1074</v>
      </c>
      <c r="P516" t="s">
        <v>1075</v>
      </c>
      <c r="Q516" t="s">
        <v>1076</v>
      </c>
      <c r="R516" t="s">
        <v>1077</v>
      </c>
      <c r="S516" t="s">
        <v>1078</v>
      </c>
      <c r="T516" t="s">
        <v>1079</v>
      </c>
      <c r="U516" t="s">
        <v>1080</v>
      </c>
      <c r="V516" t="s">
        <v>1081</v>
      </c>
      <c r="W516" t="s">
        <v>1082</v>
      </c>
      <c r="X516">
        <v>20240630</v>
      </c>
      <c r="Y516" t="s">
        <v>1083</v>
      </c>
      <c r="Z516" t="s">
        <v>1084</v>
      </c>
      <c r="AA516" s="11" t="str">
        <f t="shared" si="7"/>
        <v>EXEC [dbo].[BalanceGeneralInsertar] @Nivel ='Auxiliar',@Transaccional ='Sí',@CodigoCuentaContable ='42102501', @NombreCuentaContable ='Intereses financieros ',@Identificacion ='860531315',@Sucursal ='',@NombreTercero ='ALIANZA FIDUCIARIA S.A.',@SaldoInicial = -269597.88,@MovimientoDebito = 0,@MovimientoCredito =299229.18,@SaldoFinal = 299229.18,@Fecha ='20240630',@IdentificacionCliente = '901434038';</v>
      </c>
      <c r="AB516" t="s">
        <v>1085</v>
      </c>
    </row>
    <row r="517" spans="1:28" x14ac:dyDescent="0.25">
      <c r="A517" s="2" t="s">
        <v>25</v>
      </c>
      <c r="B517" s="2" t="s">
        <v>16</v>
      </c>
      <c r="C517" s="2" t="s">
        <v>547</v>
      </c>
      <c r="D517" s="2" t="s">
        <v>548</v>
      </c>
      <c r="E517" s="2"/>
      <c r="F517" s="2"/>
      <c r="G517" s="2"/>
      <c r="H517" s="3" t="s">
        <v>1013</v>
      </c>
      <c r="I517" s="3">
        <v>0</v>
      </c>
      <c r="J517" s="3">
        <v>0</v>
      </c>
      <c r="K517" s="3" t="s">
        <v>1013</v>
      </c>
      <c r="L517" t="s">
        <v>1071</v>
      </c>
      <c r="M517" t="s">
        <v>1072</v>
      </c>
      <c r="N517" t="s">
        <v>1073</v>
      </c>
      <c r="O517" t="s">
        <v>1074</v>
      </c>
      <c r="P517" t="s">
        <v>1075</v>
      </c>
      <c r="Q517" t="s">
        <v>1076</v>
      </c>
      <c r="R517" t="s">
        <v>1077</v>
      </c>
      <c r="S517" t="s">
        <v>1078</v>
      </c>
      <c r="T517" t="s">
        <v>1079</v>
      </c>
      <c r="U517" t="s">
        <v>1080</v>
      </c>
      <c r="V517" t="s">
        <v>1081</v>
      </c>
      <c r="W517" t="s">
        <v>1082</v>
      </c>
      <c r="X517">
        <v>20240630</v>
      </c>
      <c r="Y517" t="s">
        <v>1083</v>
      </c>
      <c r="Z517" t="s">
        <v>1084</v>
      </c>
      <c r="AA517" s="11" t="str">
        <f t="shared" si="7"/>
        <v>EXEC [dbo].[BalanceGeneralInsertar] @Nivel ='Subcuenta',@Transaccional ='No',@CodigoCuentaContable ='421095', @NombreCuentaContable ='Otros ingresos Financieros',@Identificacion ='',@Sucursal ='',@NombreTercero ='',@SaldoInicial = -1048071.22,@MovimientoDebito = 0,@MovimientoCredito =0,@SaldoFinal = 0,@Fecha ='20240630',@IdentificacionCliente = '901434038';</v>
      </c>
      <c r="AB517" t="s">
        <v>1085</v>
      </c>
    </row>
    <row r="518" spans="1:28" x14ac:dyDescent="0.25">
      <c r="A518" s="2" t="s">
        <v>28</v>
      </c>
      <c r="B518" s="2" t="s">
        <v>29</v>
      </c>
      <c r="C518" s="2" t="s">
        <v>549</v>
      </c>
      <c r="D518" s="2" t="s">
        <v>550</v>
      </c>
      <c r="E518" s="2" t="s">
        <v>35</v>
      </c>
      <c r="F518" s="2"/>
      <c r="G518" s="2" t="s">
        <v>36</v>
      </c>
      <c r="H518" s="3" t="s">
        <v>1014</v>
      </c>
      <c r="I518" s="3">
        <v>0</v>
      </c>
      <c r="J518" s="3">
        <v>0</v>
      </c>
      <c r="K518" s="3" t="s">
        <v>1014</v>
      </c>
      <c r="L518" t="s">
        <v>1071</v>
      </c>
      <c r="M518" t="s">
        <v>1072</v>
      </c>
      <c r="N518" t="s">
        <v>1073</v>
      </c>
      <c r="O518" t="s">
        <v>1074</v>
      </c>
      <c r="P518" t="s">
        <v>1075</v>
      </c>
      <c r="Q518" t="s">
        <v>1076</v>
      </c>
      <c r="R518" t="s">
        <v>1077</v>
      </c>
      <c r="S518" t="s">
        <v>1078</v>
      </c>
      <c r="T518" t="s">
        <v>1079</v>
      </c>
      <c r="U518" t="s">
        <v>1080</v>
      </c>
      <c r="V518" t="s">
        <v>1081</v>
      </c>
      <c r="W518" t="s">
        <v>1082</v>
      </c>
      <c r="X518">
        <v>20240630</v>
      </c>
      <c r="Y518" t="s">
        <v>1083</v>
      </c>
      <c r="Z518" t="s">
        <v>1084</v>
      </c>
      <c r="AA518" s="11" t="str">
        <f t="shared" si="7"/>
        <v>EXEC [dbo].[BalanceGeneralInsertar] @Nivel ='Auxiliar',@Transaccional ='Sí',@CodigoCuentaContable ='42109501', @NombreCuentaContable ='Rendimientos Financieros',@Identificacion ='890903938',@Sucursal ='',@NombreTercero ='Bancolombia',@SaldoInicial = -8969.28,@MovimientoDebito = 0,@MovimientoCredito =0,@SaldoFinal = 0,@Fecha ='20240630',@IdentificacionCliente = '901434038';</v>
      </c>
      <c r="AB518" t="s">
        <v>1085</v>
      </c>
    </row>
    <row r="519" spans="1:28" x14ac:dyDescent="0.25">
      <c r="A519" s="2" t="s">
        <v>28</v>
      </c>
      <c r="B519" s="2" t="s">
        <v>29</v>
      </c>
      <c r="C519" s="2" t="s">
        <v>549</v>
      </c>
      <c r="D519" s="2" t="s">
        <v>550</v>
      </c>
      <c r="E519" s="2" t="s">
        <v>125</v>
      </c>
      <c r="F519" s="2"/>
      <c r="G519" s="2" t="s">
        <v>126</v>
      </c>
      <c r="H519" s="3">
        <v>-2</v>
      </c>
      <c r="I519" s="3">
        <v>0</v>
      </c>
      <c r="J519" s="3">
        <v>0</v>
      </c>
      <c r="K519" s="3">
        <v>-2</v>
      </c>
      <c r="L519" t="s">
        <v>1071</v>
      </c>
      <c r="M519" t="s">
        <v>1072</v>
      </c>
      <c r="N519" t="s">
        <v>1073</v>
      </c>
      <c r="O519" t="s">
        <v>1074</v>
      </c>
      <c r="P519" t="s">
        <v>1075</v>
      </c>
      <c r="Q519" t="s">
        <v>1076</v>
      </c>
      <c r="R519" t="s">
        <v>1077</v>
      </c>
      <c r="S519" t="s">
        <v>1078</v>
      </c>
      <c r="T519" t="s">
        <v>1079</v>
      </c>
      <c r="U519" t="s">
        <v>1080</v>
      </c>
      <c r="V519" t="s">
        <v>1081</v>
      </c>
      <c r="W519" t="s">
        <v>1082</v>
      </c>
      <c r="X519">
        <v>20240630</v>
      </c>
      <c r="Y519" t="s">
        <v>1083</v>
      </c>
      <c r="Z519" t="s">
        <v>1084</v>
      </c>
      <c r="AA519" s="11" t="str">
        <f t="shared" si="7"/>
        <v>EXEC [dbo].[BalanceGeneralInsertar] @Nivel ='Auxiliar',@Transaccional ='Sí',@CodigoCuentaContable ='42109501', @NombreCuentaContable ='Rendimientos Financieros',@Identificacion ='860003020',@Sucursal ='',@NombreTercero ='BBVA',@SaldoInicial = -2,@MovimientoDebito = 0,@MovimientoCredito =0,@SaldoFinal = 0,@Fecha ='20240630',@IdentificacionCliente = '901434038';</v>
      </c>
      <c r="AB519" t="s">
        <v>1085</v>
      </c>
    </row>
    <row r="520" spans="1:28" x14ac:dyDescent="0.25">
      <c r="A520" s="2" t="s">
        <v>28</v>
      </c>
      <c r="B520" s="2" t="s">
        <v>29</v>
      </c>
      <c r="C520" s="2" t="s">
        <v>549</v>
      </c>
      <c r="D520" s="2" t="s">
        <v>550</v>
      </c>
      <c r="E520" s="2" t="s">
        <v>107</v>
      </c>
      <c r="F520" s="2"/>
      <c r="G520" s="2" t="s">
        <v>108</v>
      </c>
      <c r="H520" s="3" t="s">
        <v>1015</v>
      </c>
      <c r="I520" s="3">
        <v>0</v>
      </c>
      <c r="J520" s="3">
        <v>0</v>
      </c>
      <c r="K520" s="3" t="s">
        <v>1015</v>
      </c>
      <c r="L520" t="s">
        <v>1071</v>
      </c>
      <c r="M520" t="s">
        <v>1072</v>
      </c>
      <c r="N520" t="s">
        <v>1073</v>
      </c>
      <c r="O520" t="s">
        <v>1074</v>
      </c>
      <c r="P520" t="s">
        <v>1075</v>
      </c>
      <c r="Q520" t="s">
        <v>1076</v>
      </c>
      <c r="R520" t="s">
        <v>1077</v>
      </c>
      <c r="S520" t="s">
        <v>1078</v>
      </c>
      <c r="T520" t="s">
        <v>1079</v>
      </c>
      <c r="U520" t="s">
        <v>1080</v>
      </c>
      <c r="V520" t="s">
        <v>1081</v>
      </c>
      <c r="W520" t="s">
        <v>1082</v>
      </c>
      <c r="X520">
        <v>20240630</v>
      </c>
      <c r="Y520" t="s">
        <v>1083</v>
      </c>
      <c r="Z520" t="s">
        <v>1084</v>
      </c>
      <c r="AA520" s="11" t="str">
        <f t="shared" si="7"/>
        <v>EXEC [dbo].[BalanceGeneralInsertar] @Nivel ='Auxiliar',@Transaccional ='Sí',@CodigoCuentaContable ='42109501', @NombreCuentaContable ='Rendimientos Financieros',@Identificacion ='860531315',@Sucursal ='',@NombreTercero ='ALIANZA FIDUCIARIA S.A.',@SaldoInicial = -1039099.94,@MovimientoDebito = 0,@MovimientoCredito =0,@SaldoFinal = 0,@Fecha ='20240630',@IdentificacionCliente = '901434038';</v>
      </c>
      <c r="AB520" t="s">
        <v>1085</v>
      </c>
    </row>
    <row r="521" spans="1:28" x14ac:dyDescent="0.25">
      <c r="A521" s="2" t="s">
        <v>22</v>
      </c>
      <c r="B521" s="2" t="s">
        <v>16</v>
      </c>
      <c r="C521" s="2" t="s">
        <v>551</v>
      </c>
      <c r="D521" s="2" t="s">
        <v>552</v>
      </c>
      <c r="E521" s="2"/>
      <c r="F521" s="2"/>
      <c r="G521" s="2"/>
      <c r="H521" s="3" t="s">
        <v>1016</v>
      </c>
      <c r="I521" s="3">
        <v>0</v>
      </c>
      <c r="J521" s="3" t="s">
        <v>1017</v>
      </c>
      <c r="K521" s="3" t="s">
        <v>1018</v>
      </c>
      <c r="L521" t="s">
        <v>1071</v>
      </c>
      <c r="M521" t="s">
        <v>1072</v>
      </c>
      <c r="N521" t="s">
        <v>1073</v>
      </c>
      <c r="O521" t="s">
        <v>1074</v>
      </c>
      <c r="P521" t="s">
        <v>1075</v>
      </c>
      <c r="Q521" t="s">
        <v>1076</v>
      </c>
      <c r="R521" t="s">
        <v>1077</v>
      </c>
      <c r="S521" t="s">
        <v>1078</v>
      </c>
      <c r="T521" t="s">
        <v>1079</v>
      </c>
      <c r="U521" t="s">
        <v>1080</v>
      </c>
      <c r="V521" t="s">
        <v>1081</v>
      </c>
      <c r="W521" t="s">
        <v>1082</v>
      </c>
      <c r="X521">
        <v>20240630</v>
      </c>
      <c r="Y521" t="s">
        <v>1083</v>
      </c>
      <c r="Z521" t="s">
        <v>1084</v>
      </c>
      <c r="AA521" s="11" t="str">
        <f t="shared" si="7"/>
        <v>EXEC [dbo].[BalanceGeneralInsertar] @Nivel ='Cuenta',@Transaccional ='No',@CodigoCuentaContable ='4295', @NombreCuentaContable ='Diversos',@Identificacion ='',@Sucursal ='',@NombreTercero ='',@SaldoInicial = -1663.82,@MovimientoDebito = 0,@MovimientoCredito =0.96,@SaldoFinal = 0.96,@Fecha ='20240630',@IdentificacionCliente = '901434038';</v>
      </c>
      <c r="AB521" t="s">
        <v>1085</v>
      </c>
    </row>
    <row r="522" spans="1:28" x14ac:dyDescent="0.25">
      <c r="A522" s="2" t="s">
        <v>25</v>
      </c>
      <c r="B522" s="2" t="s">
        <v>16</v>
      </c>
      <c r="C522" s="2" t="s">
        <v>553</v>
      </c>
      <c r="D522" s="2" t="s">
        <v>554</v>
      </c>
      <c r="E522" s="2"/>
      <c r="F522" s="2"/>
      <c r="G522" s="2"/>
      <c r="H522" s="3" t="s">
        <v>1016</v>
      </c>
      <c r="I522" s="3">
        <v>0</v>
      </c>
      <c r="J522" s="3" t="s">
        <v>1017</v>
      </c>
      <c r="K522" s="3" t="s">
        <v>1018</v>
      </c>
      <c r="L522" t="s">
        <v>1071</v>
      </c>
      <c r="M522" t="s">
        <v>1072</v>
      </c>
      <c r="N522" t="s">
        <v>1073</v>
      </c>
      <c r="O522" t="s">
        <v>1074</v>
      </c>
      <c r="P522" t="s">
        <v>1075</v>
      </c>
      <c r="Q522" t="s">
        <v>1076</v>
      </c>
      <c r="R522" t="s">
        <v>1077</v>
      </c>
      <c r="S522" t="s">
        <v>1078</v>
      </c>
      <c r="T522" t="s">
        <v>1079</v>
      </c>
      <c r="U522" t="s">
        <v>1080</v>
      </c>
      <c r="V522" t="s">
        <v>1081</v>
      </c>
      <c r="W522" t="s">
        <v>1082</v>
      </c>
      <c r="X522">
        <v>20240630</v>
      </c>
      <c r="Y522" t="s">
        <v>1083</v>
      </c>
      <c r="Z522" t="s">
        <v>1084</v>
      </c>
      <c r="AA522" s="11" t="str">
        <f t="shared" ref="AA522:AA585" si="8">_xlfn.CONCAT(L522,Y522,A522,Y522,Z522,M522,Y522,B522,Y522,Z522,N522,Y522,C522,Y522,Z522,AB522,Y522,D522,Y522,Z522,O522,Y522,E522,Y522,Z522,P522,Y522,F522,Y522,Z522,Q522,Y522,G522,Y522,Z522,R522,H522,Z522,S522,I522,Z522,T522,J522,Z522,U522,J522,Z522,V522,Y522,X522,Y522,Z522,W522,Y522,"901434038",Y522,";")</f>
        <v>EXEC [dbo].[BalanceGeneralInsertar] @Nivel ='Subcuenta',@Transaccional ='No',@CodigoCuentaContable ='429581', @NombreCuentaContable ='Ajuste al peso',@Identificacion ='',@Sucursal ='',@NombreTercero ='',@SaldoInicial = -1663.82,@MovimientoDebito = 0,@MovimientoCredito =0.96,@SaldoFinal = 0.96,@Fecha ='20240630',@IdentificacionCliente = '901434038';</v>
      </c>
      <c r="AB522" t="s">
        <v>1085</v>
      </c>
    </row>
    <row r="523" spans="1:28" x14ac:dyDescent="0.25">
      <c r="A523" s="2" t="s">
        <v>28</v>
      </c>
      <c r="B523" s="2" t="s">
        <v>29</v>
      </c>
      <c r="C523" s="2" t="s">
        <v>555</v>
      </c>
      <c r="D523" s="2" t="s">
        <v>554</v>
      </c>
      <c r="E523" s="2" t="s">
        <v>99</v>
      </c>
      <c r="F523" s="2"/>
      <c r="G523" s="2" t="s">
        <v>100</v>
      </c>
      <c r="H523" s="3">
        <v>-800</v>
      </c>
      <c r="I523" s="3">
        <v>0</v>
      </c>
      <c r="J523" s="3">
        <v>0</v>
      </c>
      <c r="K523" s="3">
        <v>-800</v>
      </c>
      <c r="L523" t="s">
        <v>1071</v>
      </c>
      <c r="M523" t="s">
        <v>1072</v>
      </c>
      <c r="N523" t="s">
        <v>1073</v>
      </c>
      <c r="O523" t="s">
        <v>1074</v>
      </c>
      <c r="P523" t="s">
        <v>1075</v>
      </c>
      <c r="Q523" t="s">
        <v>1076</v>
      </c>
      <c r="R523" t="s">
        <v>1077</v>
      </c>
      <c r="S523" t="s">
        <v>1078</v>
      </c>
      <c r="T523" t="s">
        <v>1079</v>
      </c>
      <c r="U523" t="s">
        <v>1080</v>
      </c>
      <c r="V523" t="s">
        <v>1081</v>
      </c>
      <c r="W523" t="s">
        <v>1082</v>
      </c>
      <c r="X523">
        <v>20240630</v>
      </c>
      <c r="Y523" t="s">
        <v>1083</v>
      </c>
      <c r="Z523" t="s">
        <v>1084</v>
      </c>
      <c r="AA523" s="11" t="str">
        <f t="shared" si="8"/>
        <v>EXEC [dbo].[BalanceGeneralInsertar] @Nivel ='Auxiliar',@Transaccional ='Sí',@CodigoCuentaContable ='42958101', @NombreCuentaContable ='Ajuste al peso',@Identificacion ='900397663',@Sucursal ='',@NombreTercero ='BTL COLOMBIA SAS',@SaldoInicial = -800,@MovimientoDebito = 0,@MovimientoCredito =0,@SaldoFinal = 0,@Fecha ='20240630',@IdentificacionCliente = '901434038';</v>
      </c>
      <c r="AB523" t="s">
        <v>1085</v>
      </c>
    </row>
    <row r="524" spans="1:28" x14ac:dyDescent="0.25">
      <c r="A524" s="2" t="s">
        <v>28</v>
      </c>
      <c r="B524" s="2" t="s">
        <v>29</v>
      </c>
      <c r="C524" s="2" t="s">
        <v>555</v>
      </c>
      <c r="D524" s="2" t="s">
        <v>554</v>
      </c>
      <c r="E524" s="2" t="s">
        <v>105</v>
      </c>
      <c r="F524" s="2"/>
      <c r="G524" s="2" t="s">
        <v>106</v>
      </c>
      <c r="H524" s="3">
        <v>-450</v>
      </c>
      <c r="I524" s="3">
        <v>0</v>
      </c>
      <c r="J524" s="3">
        <v>0</v>
      </c>
      <c r="K524" s="3">
        <v>-450</v>
      </c>
      <c r="L524" t="s">
        <v>1071</v>
      </c>
      <c r="M524" t="s">
        <v>1072</v>
      </c>
      <c r="N524" t="s">
        <v>1073</v>
      </c>
      <c r="O524" t="s">
        <v>1074</v>
      </c>
      <c r="P524" t="s">
        <v>1075</v>
      </c>
      <c r="Q524" t="s">
        <v>1076</v>
      </c>
      <c r="R524" t="s">
        <v>1077</v>
      </c>
      <c r="S524" t="s">
        <v>1078</v>
      </c>
      <c r="T524" t="s">
        <v>1079</v>
      </c>
      <c r="U524" t="s">
        <v>1080</v>
      </c>
      <c r="V524" t="s">
        <v>1081</v>
      </c>
      <c r="W524" t="s">
        <v>1082</v>
      </c>
      <c r="X524">
        <v>20240630</v>
      </c>
      <c r="Y524" t="s">
        <v>1083</v>
      </c>
      <c r="Z524" t="s">
        <v>1084</v>
      </c>
      <c r="AA524" s="11" t="str">
        <f t="shared" si="8"/>
        <v>EXEC [dbo].[BalanceGeneralInsertar] @Nivel ='Auxiliar',@Transaccional ='Sí',@CodigoCuentaContable ='42958101', @NombreCuentaContable ='Ajuste al peso',@Identificacion ='901000155',@Sucursal ='',@NombreTercero ='DELUXE BY CRISTINA JARAMILLO S.A.S',@SaldoInicial = -450,@MovimientoDebito = 0,@MovimientoCredito =0,@SaldoFinal = 0,@Fecha ='20240630',@IdentificacionCliente = '901434038';</v>
      </c>
      <c r="AB524" t="s">
        <v>1085</v>
      </c>
    </row>
    <row r="525" spans="1:28" x14ac:dyDescent="0.25">
      <c r="A525" s="2" t="s">
        <v>28</v>
      </c>
      <c r="B525" s="2" t="s">
        <v>29</v>
      </c>
      <c r="C525" s="2" t="s">
        <v>555</v>
      </c>
      <c r="D525" s="2" t="s">
        <v>554</v>
      </c>
      <c r="E525" s="2" t="s">
        <v>89</v>
      </c>
      <c r="F525" s="2"/>
      <c r="G525" s="2" t="s">
        <v>90</v>
      </c>
      <c r="H525" s="3">
        <v>0</v>
      </c>
      <c r="I525" s="3">
        <v>0</v>
      </c>
      <c r="J525" s="3" t="s">
        <v>1019</v>
      </c>
      <c r="K525" s="3" t="s">
        <v>1020</v>
      </c>
      <c r="L525" t="s">
        <v>1071</v>
      </c>
      <c r="M525" t="s">
        <v>1072</v>
      </c>
      <c r="N525" t="s">
        <v>1073</v>
      </c>
      <c r="O525" t="s">
        <v>1074</v>
      </c>
      <c r="P525" t="s">
        <v>1075</v>
      </c>
      <c r="Q525" t="s">
        <v>1076</v>
      </c>
      <c r="R525" t="s">
        <v>1077</v>
      </c>
      <c r="S525" t="s">
        <v>1078</v>
      </c>
      <c r="T525" t="s">
        <v>1079</v>
      </c>
      <c r="U525" t="s">
        <v>1080</v>
      </c>
      <c r="V525" t="s">
        <v>1081</v>
      </c>
      <c r="W525" t="s">
        <v>1082</v>
      </c>
      <c r="X525">
        <v>20240630</v>
      </c>
      <c r="Y525" t="s">
        <v>1083</v>
      </c>
      <c r="Z525" t="s">
        <v>1084</v>
      </c>
      <c r="AA525" s="11" t="str">
        <f t="shared" si="8"/>
        <v>EXEC [dbo].[BalanceGeneralInsertar] @Nivel ='Auxiliar',@Transaccional ='Sí',@CodigoCuentaContable ='42958101', @NombreCuentaContable ='Ajuste al peso',@Identificacion ='900192072',@Sucursal ='',@NombreTercero ='SEOUL MEDICINA ESTETICA INTEGRAL Y SPA S.A.',@SaldoInicial = 0,@MovimientoDebito = 0,@MovimientoCredito =0.73,@SaldoFinal = 0.73,@Fecha ='20240630',@IdentificacionCliente = '901434038';</v>
      </c>
      <c r="AB525" t="s">
        <v>1085</v>
      </c>
    </row>
    <row r="526" spans="1:28" x14ac:dyDescent="0.25">
      <c r="A526" s="2" t="s">
        <v>28</v>
      </c>
      <c r="B526" s="2" t="s">
        <v>29</v>
      </c>
      <c r="C526" s="2" t="s">
        <v>555</v>
      </c>
      <c r="D526" s="2" t="s">
        <v>554</v>
      </c>
      <c r="E526" s="2" t="s">
        <v>139</v>
      </c>
      <c r="F526" s="2"/>
      <c r="G526" s="2" t="s">
        <v>140</v>
      </c>
      <c r="H526" s="3" t="s">
        <v>1021</v>
      </c>
      <c r="I526" s="3">
        <v>0</v>
      </c>
      <c r="J526" s="3">
        <v>0</v>
      </c>
      <c r="K526" s="3" t="s">
        <v>1021</v>
      </c>
      <c r="L526" t="s">
        <v>1071</v>
      </c>
      <c r="M526" t="s">
        <v>1072</v>
      </c>
      <c r="N526" t="s">
        <v>1073</v>
      </c>
      <c r="O526" t="s">
        <v>1074</v>
      </c>
      <c r="P526" t="s">
        <v>1075</v>
      </c>
      <c r="Q526" t="s">
        <v>1076</v>
      </c>
      <c r="R526" t="s">
        <v>1077</v>
      </c>
      <c r="S526" t="s">
        <v>1078</v>
      </c>
      <c r="T526" t="s">
        <v>1079</v>
      </c>
      <c r="U526" t="s">
        <v>1080</v>
      </c>
      <c r="V526" t="s">
        <v>1081</v>
      </c>
      <c r="W526" t="s">
        <v>1082</v>
      </c>
      <c r="X526">
        <v>20240630</v>
      </c>
      <c r="Y526" t="s">
        <v>1083</v>
      </c>
      <c r="Z526" t="s">
        <v>1084</v>
      </c>
      <c r="AA526" s="11" t="str">
        <f t="shared" si="8"/>
        <v>EXEC [dbo].[BalanceGeneralInsertar] @Nivel ='Auxiliar',@Transaccional ='Sí',@CodigoCuentaContable ='42958101', @NombreCuentaContable ='Ajuste al peso',@Identificacion ='900347399',@Sucursal ='',@NombreTercero ='EXPORT HEALTH SAS',@SaldoInicial = -0.5,@MovimientoDebito = 0,@MovimientoCredito =0,@SaldoFinal = 0,@Fecha ='20240630',@IdentificacionCliente = '901434038';</v>
      </c>
      <c r="AB526" t="s">
        <v>1085</v>
      </c>
    </row>
    <row r="527" spans="1:28" x14ac:dyDescent="0.25">
      <c r="A527" s="2" t="s">
        <v>28</v>
      </c>
      <c r="B527" s="2" t="s">
        <v>29</v>
      </c>
      <c r="C527" s="2" t="s">
        <v>555</v>
      </c>
      <c r="D527" s="2" t="s">
        <v>554</v>
      </c>
      <c r="E527" s="2" t="s">
        <v>71</v>
      </c>
      <c r="F527" s="2"/>
      <c r="G527" s="2" t="s">
        <v>72</v>
      </c>
      <c r="H527" s="3" t="s">
        <v>1022</v>
      </c>
      <c r="I527" s="3">
        <v>0</v>
      </c>
      <c r="J527" s="3">
        <v>0</v>
      </c>
      <c r="K527" s="3" t="s">
        <v>1022</v>
      </c>
      <c r="L527" t="s">
        <v>1071</v>
      </c>
      <c r="M527" t="s">
        <v>1072</v>
      </c>
      <c r="N527" t="s">
        <v>1073</v>
      </c>
      <c r="O527" t="s">
        <v>1074</v>
      </c>
      <c r="P527" t="s">
        <v>1075</v>
      </c>
      <c r="Q527" t="s">
        <v>1076</v>
      </c>
      <c r="R527" t="s">
        <v>1077</v>
      </c>
      <c r="S527" t="s">
        <v>1078</v>
      </c>
      <c r="T527" t="s">
        <v>1079</v>
      </c>
      <c r="U527" t="s">
        <v>1080</v>
      </c>
      <c r="V527" t="s">
        <v>1081</v>
      </c>
      <c r="W527" t="s">
        <v>1082</v>
      </c>
      <c r="X527">
        <v>20240630</v>
      </c>
      <c r="Y527" t="s">
        <v>1083</v>
      </c>
      <c r="Z527" t="s">
        <v>1084</v>
      </c>
      <c r="AA527" s="11" t="str">
        <f t="shared" si="8"/>
        <v>EXEC [dbo].[BalanceGeneralInsertar] @Nivel ='Auxiliar',@Transaccional ='Sí',@CodigoCuentaContable ='42958101', @NombreCuentaContable ='Ajuste al peso',@Identificacion ='901477526',@Sucursal ='',@NombreTercero ='SABANA MEDICAL SPA SAS',@SaldoInicial = -0.47,@MovimientoDebito = 0,@MovimientoCredito =0,@SaldoFinal = 0,@Fecha ='20240630',@IdentificacionCliente = '901434038';</v>
      </c>
      <c r="AB527" t="s">
        <v>1085</v>
      </c>
    </row>
    <row r="528" spans="1:28" x14ac:dyDescent="0.25">
      <c r="A528" s="2" t="s">
        <v>28</v>
      </c>
      <c r="B528" s="2" t="s">
        <v>29</v>
      </c>
      <c r="C528" s="2" t="s">
        <v>555</v>
      </c>
      <c r="D528" s="2" t="s">
        <v>554</v>
      </c>
      <c r="E528" s="2" t="s">
        <v>51</v>
      </c>
      <c r="F528" s="2"/>
      <c r="G528" s="2" t="s">
        <v>52</v>
      </c>
      <c r="H528" s="3" t="s">
        <v>1023</v>
      </c>
      <c r="I528" s="3">
        <v>0</v>
      </c>
      <c r="J528" s="3" t="s">
        <v>1024</v>
      </c>
      <c r="K528" s="3" t="s">
        <v>1025</v>
      </c>
      <c r="L528" t="s">
        <v>1071</v>
      </c>
      <c r="M528" t="s">
        <v>1072</v>
      </c>
      <c r="N528" t="s">
        <v>1073</v>
      </c>
      <c r="O528" t="s">
        <v>1074</v>
      </c>
      <c r="P528" t="s">
        <v>1075</v>
      </c>
      <c r="Q528" t="s">
        <v>1076</v>
      </c>
      <c r="R528" t="s">
        <v>1077</v>
      </c>
      <c r="S528" t="s">
        <v>1078</v>
      </c>
      <c r="T528" t="s">
        <v>1079</v>
      </c>
      <c r="U528" t="s">
        <v>1080</v>
      </c>
      <c r="V528" t="s">
        <v>1081</v>
      </c>
      <c r="W528" t="s">
        <v>1082</v>
      </c>
      <c r="X528">
        <v>20240630</v>
      </c>
      <c r="Y528" t="s">
        <v>1083</v>
      </c>
      <c r="Z528" t="s">
        <v>1084</v>
      </c>
      <c r="AA528" s="11" t="str">
        <f t="shared" si="8"/>
        <v>EXEC [dbo].[BalanceGeneralInsertar] @Nivel ='Auxiliar',@Transaccional ='Sí',@CodigoCuentaContable ='42958101', @NombreCuentaContable ='Ajuste al peso',@Identificacion ='901733873',@Sucursal ='',@NombreTercero ='AV SALUD INTEGRAL SAS',@SaldoInicial = -0.23,@MovimientoDebito = 0,@MovimientoCredito =0.23,@SaldoFinal = 0.23,@Fecha ='20240630',@IdentificacionCliente = '901434038';</v>
      </c>
      <c r="AB528" t="s">
        <v>1085</v>
      </c>
    </row>
    <row r="529" spans="1:28" x14ac:dyDescent="0.25">
      <c r="A529" s="2" t="s">
        <v>28</v>
      </c>
      <c r="B529" s="2" t="s">
        <v>29</v>
      </c>
      <c r="C529" s="2" t="s">
        <v>555</v>
      </c>
      <c r="D529" s="2" t="s">
        <v>554</v>
      </c>
      <c r="E529" s="2" t="s">
        <v>57</v>
      </c>
      <c r="F529" s="2"/>
      <c r="G529" s="2" t="s">
        <v>58</v>
      </c>
      <c r="H529" s="3" t="s">
        <v>1026</v>
      </c>
      <c r="I529" s="3">
        <v>0</v>
      </c>
      <c r="J529" s="3">
        <v>0</v>
      </c>
      <c r="K529" s="3" t="s">
        <v>1026</v>
      </c>
      <c r="L529" t="s">
        <v>1071</v>
      </c>
      <c r="M529" t="s">
        <v>1072</v>
      </c>
      <c r="N529" t="s">
        <v>1073</v>
      </c>
      <c r="O529" t="s">
        <v>1074</v>
      </c>
      <c r="P529" t="s">
        <v>1075</v>
      </c>
      <c r="Q529" t="s">
        <v>1076</v>
      </c>
      <c r="R529" t="s">
        <v>1077</v>
      </c>
      <c r="S529" t="s">
        <v>1078</v>
      </c>
      <c r="T529" t="s">
        <v>1079</v>
      </c>
      <c r="U529" t="s">
        <v>1080</v>
      </c>
      <c r="V529" t="s">
        <v>1081</v>
      </c>
      <c r="W529" t="s">
        <v>1082</v>
      </c>
      <c r="X529">
        <v>20240630</v>
      </c>
      <c r="Y529" t="s">
        <v>1083</v>
      </c>
      <c r="Z529" t="s">
        <v>1084</v>
      </c>
      <c r="AA529" s="11" t="str">
        <f t="shared" si="8"/>
        <v>EXEC [dbo].[BalanceGeneralInsertar] @Nivel ='Auxiliar',@Transaccional ='Sí',@CodigoCuentaContable ='42958101', @NombreCuentaContable ='Ajuste al peso',@Identificacion ='901745690',@Sucursal ='',@NombreTercero ='JOHANNA DAZA MEDICINA ANTIENVEJECIMIENTO S.A.S.',@SaldoInicial = -412.62,@MovimientoDebito = 0,@MovimientoCredito =0,@SaldoFinal = 0,@Fecha ='20240630',@IdentificacionCliente = '901434038';</v>
      </c>
      <c r="AB529" t="s">
        <v>1085</v>
      </c>
    </row>
    <row r="530" spans="1:28" x14ac:dyDescent="0.25">
      <c r="A530" s="2" t="s">
        <v>15</v>
      </c>
      <c r="B530" s="2" t="s">
        <v>16</v>
      </c>
      <c r="C530" s="2" t="s">
        <v>556</v>
      </c>
      <c r="D530" s="2" t="s">
        <v>557</v>
      </c>
      <c r="E530" s="2"/>
      <c r="F530" s="2"/>
      <c r="G530" s="2"/>
      <c r="H530" s="3" t="s">
        <v>1027</v>
      </c>
      <c r="I530" s="3" t="s">
        <v>1028</v>
      </c>
      <c r="J530" s="3">
        <v>3641</v>
      </c>
      <c r="K530" s="3" t="s">
        <v>1029</v>
      </c>
      <c r="L530" t="s">
        <v>1071</v>
      </c>
      <c r="M530" t="s">
        <v>1072</v>
      </c>
      <c r="N530" t="s">
        <v>1073</v>
      </c>
      <c r="O530" t="s">
        <v>1074</v>
      </c>
      <c r="P530" t="s">
        <v>1075</v>
      </c>
      <c r="Q530" t="s">
        <v>1076</v>
      </c>
      <c r="R530" t="s">
        <v>1077</v>
      </c>
      <c r="S530" t="s">
        <v>1078</v>
      </c>
      <c r="T530" t="s">
        <v>1079</v>
      </c>
      <c r="U530" t="s">
        <v>1080</v>
      </c>
      <c r="V530" t="s">
        <v>1081</v>
      </c>
      <c r="W530" t="s">
        <v>1082</v>
      </c>
      <c r="X530">
        <v>20240630</v>
      </c>
      <c r="Y530" t="s">
        <v>1083</v>
      </c>
      <c r="Z530" t="s">
        <v>1084</v>
      </c>
      <c r="AA530" s="11" t="str">
        <f t="shared" si="8"/>
        <v>EXEC [dbo].[BalanceGeneralInsertar] @Nivel ='Clase',@Transaccional ='No',@CodigoCuentaContable ='5', @NombreCuentaContable ='Gasto',@Identificacion ='',@Sucursal ='',@NombreTercero ='',@SaldoInicial = 139537909.92,@MovimientoDebito = 20919537.58,@MovimientoCredito =3641,@SaldoFinal = 3641,@Fecha ='20240630',@IdentificacionCliente = '901434038';</v>
      </c>
      <c r="AB530" t="s">
        <v>1085</v>
      </c>
    </row>
    <row r="531" spans="1:28" x14ac:dyDescent="0.25">
      <c r="A531" s="2" t="s">
        <v>19</v>
      </c>
      <c r="B531" s="2" t="s">
        <v>16</v>
      </c>
      <c r="C531" s="2" t="s">
        <v>558</v>
      </c>
      <c r="D531" s="2" t="s">
        <v>559</v>
      </c>
      <c r="E531" s="2"/>
      <c r="F531" s="2"/>
      <c r="G531" s="2"/>
      <c r="H531" s="3">
        <v>67377490</v>
      </c>
      <c r="I531" s="3">
        <v>10613186</v>
      </c>
      <c r="J531" s="3">
        <v>3641</v>
      </c>
      <c r="K531" s="3">
        <v>77987035</v>
      </c>
      <c r="L531" t="s">
        <v>1071</v>
      </c>
      <c r="M531" t="s">
        <v>1072</v>
      </c>
      <c r="N531" t="s">
        <v>1073</v>
      </c>
      <c r="O531" t="s">
        <v>1074</v>
      </c>
      <c r="P531" t="s">
        <v>1075</v>
      </c>
      <c r="Q531" t="s">
        <v>1076</v>
      </c>
      <c r="R531" t="s">
        <v>1077</v>
      </c>
      <c r="S531" t="s">
        <v>1078</v>
      </c>
      <c r="T531" t="s">
        <v>1079</v>
      </c>
      <c r="U531" t="s">
        <v>1080</v>
      </c>
      <c r="V531" t="s">
        <v>1081</v>
      </c>
      <c r="W531" t="s">
        <v>1082</v>
      </c>
      <c r="X531">
        <v>20240630</v>
      </c>
      <c r="Y531" t="s">
        <v>1083</v>
      </c>
      <c r="Z531" t="s">
        <v>1084</v>
      </c>
      <c r="AA531" s="11" t="str">
        <f t="shared" si="8"/>
        <v>EXEC [dbo].[BalanceGeneralInsertar] @Nivel ='Grupo',@Transaccional ='No',@CodigoCuentaContable ='51', @NombreCuentaContable ='Administrativos',@Identificacion ='',@Sucursal ='',@NombreTercero ='',@SaldoInicial = 67377490,@MovimientoDebito = 10613186,@MovimientoCredito =3641,@SaldoFinal = 3641,@Fecha ='20240630',@IdentificacionCliente = '901434038';</v>
      </c>
      <c r="AB531" t="s">
        <v>1085</v>
      </c>
    </row>
    <row r="532" spans="1:28" x14ac:dyDescent="0.25">
      <c r="A532" s="2" t="s">
        <v>22</v>
      </c>
      <c r="B532" s="2" t="s">
        <v>16</v>
      </c>
      <c r="C532" s="2" t="s">
        <v>560</v>
      </c>
      <c r="D532" s="2" t="s">
        <v>561</v>
      </c>
      <c r="E532" s="2"/>
      <c r="F532" s="2"/>
      <c r="G532" s="2"/>
      <c r="H532" s="3">
        <v>40454650</v>
      </c>
      <c r="I532" s="3">
        <v>5675402</v>
      </c>
      <c r="J532" s="3">
        <v>0</v>
      </c>
      <c r="K532" s="3">
        <v>46130052</v>
      </c>
      <c r="L532" t="s">
        <v>1071</v>
      </c>
      <c r="M532" t="s">
        <v>1072</v>
      </c>
      <c r="N532" t="s">
        <v>1073</v>
      </c>
      <c r="O532" t="s">
        <v>1074</v>
      </c>
      <c r="P532" t="s">
        <v>1075</v>
      </c>
      <c r="Q532" t="s">
        <v>1076</v>
      </c>
      <c r="R532" t="s">
        <v>1077</v>
      </c>
      <c r="S532" t="s">
        <v>1078</v>
      </c>
      <c r="T532" t="s">
        <v>1079</v>
      </c>
      <c r="U532" t="s">
        <v>1080</v>
      </c>
      <c r="V532" t="s">
        <v>1081</v>
      </c>
      <c r="W532" t="s">
        <v>1082</v>
      </c>
      <c r="X532">
        <v>20240630</v>
      </c>
      <c r="Y532" t="s">
        <v>1083</v>
      </c>
      <c r="Z532" t="s">
        <v>1084</v>
      </c>
      <c r="AA532" s="11" t="str">
        <f t="shared" si="8"/>
        <v>EXEC [dbo].[BalanceGeneralInsertar] @Nivel ='Cuenta',@Transaccional ='No',@CodigoCuentaContable ='5105', @NombreCuentaContable ='Gastos de personal',@Identificacion ='',@Sucursal ='',@NombreTercero ='',@SaldoInicial = 40454650,@MovimientoDebito = 5675402,@MovimientoCredito =0,@SaldoFinal = 0,@Fecha ='20240630',@IdentificacionCliente = '901434038';</v>
      </c>
      <c r="AB532" t="s">
        <v>1085</v>
      </c>
    </row>
    <row r="533" spans="1:28" x14ac:dyDescent="0.25">
      <c r="A533" s="2" t="s">
        <v>25</v>
      </c>
      <c r="B533" s="2" t="s">
        <v>16</v>
      </c>
      <c r="C533" s="2" t="s">
        <v>562</v>
      </c>
      <c r="D533" s="2" t="s">
        <v>563</v>
      </c>
      <c r="E533" s="2"/>
      <c r="F533" s="2"/>
      <c r="G533" s="2"/>
      <c r="H533" s="3">
        <v>20000000</v>
      </c>
      <c r="I533" s="3">
        <v>4000000</v>
      </c>
      <c r="J533" s="3">
        <v>0</v>
      </c>
      <c r="K533" s="3">
        <v>24000000</v>
      </c>
      <c r="L533" t="s">
        <v>1071</v>
      </c>
      <c r="M533" t="s">
        <v>1072</v>
      </c>
      <c r="N533" t="s">
        <v>1073</v>
      </c>
      <c r="O533" t="s">
        <v>1074</v>
      </c>
      <c r="P533" t="s">
        <v>1075</v>
      </c>
      <c r="Q533" t="s">
        <v>1076</v>
      </c>
      <c r="R533" t="s">
        <v>1077</v>
      </c>
      <c r="S533" t="s">
        <v>1078</v>
      </c>
      <c r="T533" t="s">
        <v>1079</v>
      </c>
      <c r="U533" t="s">
        <v>1080</v>
      </c>
      <c r="V533" t="s">
        <v>1081</v>
      </c>
      <c r="W533" t="s">
        <v>1082</v>
      </c>
      <c r="X533">
        <v>20240630</v>
      </c>
      <c r="Y533" t="s">
        <v>1083</v>
      </c>
      <c r="Z533" t="s">
        <v>1084</v>
      </c>
      <c r="AA533" s="11" t="str">
        <f t="shared" si="8"/>
        <v>EXEC [dbo].[BalanceGeneralInsertar] @Nivel ='Subcuenta',@Transaccional ='No',@CodigoCuentaContable ='510506', @NombreCuentaContable ='Sueldos',@Identificacion ='',@Sucursal ='',@NombreTercero ='',@SaldoInicial = 20000000,@MovimientoDebito = 4000000,@MovimientoCredito =0,@SaldoFinal = 0,@Fecha ='20240630',@IdentificacionCliente = '901434038';</v>
      </c>
      <c r="AB533" t="s">
        <v>1085</v>
      </c>
    </row>
    <row r="534" spans="1:28" x14ac:dyDescent="0.25">
      <c r="A534" s="2" t="s">
        <v>28</v>
      </c>
      <c r="B534" s="2" t="s">
        <v>29</v>
      </c>
      <c r="C534" s="2" t="s">
        <v>564</v>
      </c>
      <c r="D534" s="2" t="s">
        <v>563</v>
      </c>
      <c r="E534" s="2" t="s">
        <v>119</v>
      </c>
      <c r="F534" s="2"/>
      <c r="G534" s="2" t="s">
        <v>120</v>
      </c>
      <c r="H534" s="3">
        <v>10000000</v>
      </c>
      <c r="I534" s="3">
        <v>2000000</v>
      </c>
      <c r="J534" s="3">
        <v>0</v>
      </c>
      <c r="K534" s="3">
        <v>12000000</v>
      </c>
      <c r="L534" t="s">
        <v>1071</v>
      </c>
      <c r="M534" t="s">
        <v>1072</v>
      </c>
      <c r="N534" t="s">
        <v>1073</v>
      </c>
      <c r="O534" t="s">
        <v>1074</v>
      </c>
      <c r="P534" t="s">
        <v>1075</v>
      </c>
      <c r="Q534" t="s">
        <v>1076</v>
      </c>
      <c r="R534" t="s">
        <v>1077</v>
      </c>
      <c r="S534" t="s">
        <v>1078</v>
      </c>
      <c r="T534" t="s">
        <v>1079</v>
      </c>
      <c r="U534" t="s">
        <v>1080</v>
      </c>
      <c r="V534" t="s">
        <v>1081</v>
      </c>
      <c r="W534" t="s">
        <v>1082</v>
      </c>
      <c r="X534">
        <v>20240630</v>
      </c>
      <c r="Y534" t="s">
        <v>1083</v>
      </c>
      <c r="Z534" t="s">
        <v>1084</v>
      </c>
      <c r="AA534" s="11" t="str">
        <f t="shared" si="8"/>
        <v>EXEC [dbo].[BalanceGeneralInsertar] @Nivel ='Auxiliar',@Transaccional ='Sí',@CodigoCuentaContable ='51050601', @NombreCuentaContable ='Sueldos',@Identificacion ='80196373',@Sucursal ='',@NombreTercero ='JUAN FERNANDO DURAN LOPEZ',@SaldoInicial = 10000000,@MovimientoDebito = 2000000,@MovimientoCredito =0,@SaldoFinal = 0,@Fecha ='20240630',@IdentificacionCliente = '901434038';</v>
      </c>
      <c r="AB534" t="s">
        <v>1085</v>
      </c>
    </row>
    <row r="535" spans="1:28" x14ac:dyDescent="0.25">
      <c r="A535" s="2" t="s">
        <v>28</v>
      </c>
      <c r="B535" s="2" t="s">
        <v>29</v>
      </c>
      <c r="C535" s="2" t="s">
        <v>564</v>
      </c>
      <c r="D535" s="2" t="s">
        <v>563</v>
      </c>
      <c r="E535" s="2" t="s">
        <v>101</v>
      </c>
      <c r="F535" s="2"/>
      <c r="G535" s="2" t="s">
        <v>102</v>
      </c>
      <c r="H535" s="3">
        <v>10000000</v>
      </c>
      <c r="I535" s="3">
        <v>2000000</v>
      </c>
      <c r="J535" s="3">
        <v>0</v>
      </c>
      <c r="K535" s="3">
        <v>12000000</v>
      </c>
      <c r="L535" t="s">
        <v>1071</v>
      </c>
      <c r="M535" t="s">
        <v>1072</v>
      </c>
      <c r="N535" t="s">
        <v>1073</v>
      </c>
      <c r="O535" t="s">
        <v>1074</v>
      </c>
      <c r="P535" t="s">
        <v>1075</v>
      </c>
      <c r="Q535" t="s">
        <v>1076</v>
      </c>
      <c r="R535" t="s">
        <v>1077</v>
      </c>
      <c r="S535" t="s">
        <v>1078</v>
      </c>
      <c r="T535" t="s">
        <v>1079</v>
      </c>
      <c r="U535" t="s">
        <v>1080</v>
      </c>
      <c r="V535" t="s">
        <v>1081</v>
      </c>
      <c r="W535" t="s">
        <v>1082</v>
      </c>
      <c r="X535">
        <v>20240630</v>
      </c>
      <c r="Y535" t="s">
        <v>1083</v>
      </c>
      <c r="Z535" t="s">
        <v>1084</v>
      </c>
      <c r="AA535" s="11" t="str">
        <f t="shared" si="8"/>
        <v>EXEC [dbo].[BalanceGeneralInsertar] @Nivel ='Auxiliar',@Transaccional ='Sí',@CodigoCuentaContable ='51050601', @NombreCuentaContable ='Sueldos',@Identificacion ='31383821',@Sucursal ='',@NombreTercero ='PATRICIA LOPEZ',@SaldoInicial = 10000000,@MovimientoDebito = 2000000,@MovimientoCredito =0,@SaldoFinal = 0,@Fecha ='20240630',@IdentificacionCliente = '901434038';</v>
      </c>
      <c r="AB535" t="s">
        <v>1085</v>
      </c>
    </row>
    <row r="536" spans="1:28" x14ac:dyDescent="0.25">
      <c r="A536" s="2" t="s">
        <v>25</v>
      </c>
      <c r="B536" s="2" t="s">
        <v>16</v>
      </c>
      <c r="C536" s="2" t="s">
        <v>565</v>
      </c>
      <c r="D536" s="2" t="s">
        <v>379</v>
      </c>
      <c r="E536" s="2"/>
      <c r="F536" s="2"/>
      <c r="G536" s="2"/>
      <c r="H536" s="3">
        <v>10000000</v>
      </c>
      <c r="I536" s="3">
        <v>0</v>
      </c>
      <c r="J536" s="3">
        <v>0</v>
      </c>
      <c r="K536" s="3">
        <v>10000000</v>
      </c>
      <c r="L536" t="s">
        <v>1071</v>
      </c>
      <c r="M536" t="s">
        <v>1072</v>
      </c>
      <c r="N536" t="s">
        <v>1073</v>
      </c>
      <c r="O536" t="s">
        <v>1074</v>
      </c>
      <c r="P536" t="s">
        <v>1075</v>
      </c>
      <c r="Q536" t="s">
        <v>1076</v>
      </c>
      <c r="R536" t="s">
        <v>1077</v>
      </c>
      <c r="S536" t="s">
        <v>1078</v>
      </c>
      <c r="T536" t="s">
        <v>1079</v>
      </c>
      <c r="U536" t="s">
        <v>1080</v>
      </c>
      <c r="V536" t="s">
        <v>1081</v>
      </c>
      <c r="W536" t="s">
        <v>1082</v>
      </c>
      <c r="X536">
        <v>20240630</v>
      </c>
      <c r="Y536" t="s">
        <v>1083</v>
      </c>
      <c r="Z536" t="s">
        <v>1084</v>
      </c>
      <c r="AA536" s="11" t="str">
        <f t="shared" si="8"/>
        <v>EXEC [dbo].[BalanceGeneralInsertar] @Nivel ='Subcuenta',@Transaccional ='No',@CodigoCuentaContable ='510518', @NombreCuentaContable ='Comisiones',@Identificacion ='',@Sucursal ='',@NombreTercero ='',@SaldoInicial = 10000000,@MovimientoDebito = 0,@MovimientoCredito =0,@SaldoFinal = 0,@Fecha ='20240630',@IdentificacionCliente = '901434038';</v>
      </c>
      <c r="AB536" t="s">
        <v>1085</v>
      </c>
    </row>
    <row r="537" spans="1:28" x14ac:dyDescent="0.25">
      <c r="A537" s="2" t="s">
        <v>28</v>
      </c>
      <c r="B537" s="2" t="s">
        <v>29</v>
      </c>
      <c r="C537" s="2" t="s">
        <v>566</v>
      </c>
      <c r="D537" s="2" t="s">
        <v>379</v>
      </c>
      <c r="E537" s="2" t="s">
        <v>119</v>
      </c>
      <c r="F537" s="2"/>
      <c r="G537" s="2" t="s">
        <v>120</v>
      </c>
      <c r="H537" s="3">
        <v>10000000</v>
      </c>
      <c r="I537" s="3">
        <v>0</v>
      </c>
      <c r="J537" s="3">
        <v>0</v>
      </c>
      <c r="K537" s="3">
        <v>10000000</v>
      </c>
      <c r="L537" t="s">
        <v>1071</v>
      </c>
      <c r="M537" t="s">
        <v>1072</v>
      </c>
      <c r="N537" t="s">
        <v>1073</v>
      </c>
      <c r="O537" t="s">
        <v>1074</v>
      </c>
      <c r="P537" t="s">
        <v>1075</v>
      </c>
      <c r="Q537" t="s">
        <v>1076</v>
      </c>
      <c r="R537" t="s">
        <v>1077</v>
      </c>
      <c r="S537" t="s">
        <v>1078</v>
      </c>
      <c r="T537" t="s">
        <v>1079</v>
      </c>
      <c r="U537" t="s">
        <v>1080</v>
      </c>
      <c r="V537" t="s">
        <v>1081</v>
      </c>
      <c r="W537" t="s">
        <v>1082</v>
      </c>
      <c r="X537">
        <v>20240630</v>
      </c>
      <c r="Y537" t="s">
        <v>1083</v>
      </c>
      <c r="Z537" t="s">
        <v>1084</v>
      </c>
      <c r="AA537" s="11" t="str">
        <f t="shared" si="8"/>
        <v>EXEC [dbo].[BalanceGeneralInsertar] @Nivel ='Auxiliar',@Transaccional ='Sí',@CodigoCuentaContable ='51051801', @NombreCuentaContable ='Comisiones',@Identificacion ='80196373',@Sucursal ='',@NombreTercero ='JUAN FERNANDO DURAN LOPEZ',@SaldoInicial = 10000000,@MovimientoDebito = 0,@MovimientoCredito =0,@SaldoFinal = 0,@Fecha ='20240630',@IdentificacionCliente = '901434038';</v>
      </c>
      <c r="AB537" t="s">
        <v>1085</v>
      </c>
    </row>
    <row r="538" spans="1:28" x14ac:dyDescent="0.25">
      <c r="A538" s="2" t="s">
        <v>25</v>
      </c>
      <c r="B538" s="2" t="s">
        <v>16</v>
      </c>
      <c r="C538" s="2" t="s">
        <v>567</v>
      </c>
      <c r="D538" s="2" t="s">
        <v>568</v>
      </c>
      <c r="E538" s="2"/>
      <c r="F538" s="2"/>
      <c r="G538" s="2"/>
      <c r="H538" s="3">
        <v>1620000</v>
      </c>
      <c r="I538" s="3">
        <v>324000</v>
      </c>
      <c r="J538" s="3">
        <v>0</v>
      </c>
      <c r="K538" s="3">
        <v>1944000</v>
      </c>
      <c r="L538" t="s">
        <v>1071</v>
      </c>
      <c r="M538" t="s">
        <v>1072</v>
      </c>
      <c r="N538" t="s">
        <v>1073</v>
      </c>
      <c r="O538" t="s">
        <v>1074</v>
      </c>
      <c r="P538" t="s">
        <v>1075</v>
      </c>
      <c r="Q538" t="s">
        <v>1076</v>
      </c>
      <c r="R538" t="s">
        <v>1077</v>
      </c>
      <c r="S538" t="s">
        <v>1078</v>
      </c>
      <c r="T538" t="s">
        <v>1079</v>
      </c>
      <c r="U538" t="s">
        <v>1080</v>
      </c>
      <c r="V538" t="s">
        <v>1081</v>
      </c>
      <c r="W538" t="s">
        <v>1082</v>
      </c>
      <c r="X538">
        <v>20240630</v>
      </c>
      <c r="Y538" t="s">
        <v>1083</v>
      </c>
      <c r="Z538" t="s">
        <v>1084</v>
      </c>
      <c r="AA538" s="11" t="str">
        <f t="shared" si="8"/>
        <v>EXEC [dbo].[BalanceGeneralInsertar] @Nivel ='Subcuenta',@Transaccional ='No',@CodigoCuentaContable ='510527', @NombreCuentaContable ='Auxilio de transporte',@Identificacion ='',@Sucursal ='',@NombreTercero ='',@SaldoInicial = 1620000,@MovimientoDebito = 324000,@MovimientoCredito =0,@SaldoFinal = 0,@Fecha ='20240630',@IdentificacionCliente = '901434038';</v>
      </c>
      <c r="AB538" t="s">
        <v>1085</v>
      </c>
    </row>
    <row r="539" spans="1:28" x14ac:dyDescent="0.25">
      <c r="A539" s="2" t="s">
        <v>28</v>
      </c>
      <c r="B539" s="2" t="s">
        <v>29</v>
      </c>
      <c r="C539" s="2" t="s">
        <v>569</v>
      </c>
      <c r="D539" s="2" t="s">
        <v>568</v>
      </c>
      <c r="E539" s="2" t="s">
        <v>119</v>
      </c>
      <c r="F539" s="2"/>
      <c r="G539" s="2" t="s">
        <v>120</v>
      </c>
      <c r="H539" s="3">
        <v>810000</v>
      </c>
      <c r="I539" s="3">
        <v>162000</v>
      </c>
      <c r="J539" s="3">
        <v>0</v>
      </c>
      <c r="K539" s="3">
        <v>972000</v>
      </c>
      <c r="L539" t="s">
        <v>1071</v>
      </c>
      <c r="M539" t="s">
        <v>1072</v>
      </c>
      <c r="N539" t="s">
        <v>1073</v>
      </c>
      <c r="O539" t="s">
        <v>1074</v>
      </c>
      <c r="P539" t="s">
        <v>1075</v>
      </c>
      <c r="Q539" t="s">
        <v>1076</v>
      </c>
      <c r="R539" t="s">
        <v>1077</v>
      </c>
      <c r="S539" t="s">
        <v>1078</v>
      </c>
      <c r="T539" t="s">
        <v>1079</v>
      </c>
      <c r="U539" t="s">
        <v>1080</v>
      </c>
      <c r="V539" t="s">
        <v>1081</v>
      </c>
      <c r="W539" t="s">
        <v>1082</v>
      </c>
      <c r="X539">
        <v>20240630</v>
      </c>
      <c r="Y539" t="s">
        <v>1083</v>
      </c>
      <c r="Z539" t="s">
        <v>1084</v>
      </c>
      <c r="AA539" s="11" t="str">
        <f t="shared" si="8"/>
        <v>EXEC [dbo].[BalanceGeneralInsertar] @Nivel ='Auxiliar',@Transaccional ='Sí',@CodigoCuentaContable ='51052701', @NombreCuentaContable ='Auxilio de transporte',@Identificacion ='80196373',@Sucursal ='',@NombreTercero ='JUAN FERNANDO DURAN LOPEZ',@SaldoInicial = 810000,@MovimientoDebito = 162000,@MovimientoCredito =0,@SaldoFinal = 0,@Fecha ='20240630',@IdentificacionCliente = '901434038';</v>
      </c>
      <c r="AB539" t="s">
        <v>1085</v>
      </c>
    </row>
    <row r="540" spans="1:28" x14ac:dyDescent="0.25">
      <c r="A540" s="2" t="s">
        <v>28</v>
      </c>
      <c r="B540" s="2" t="s">
        <v>29</v>
      </c>
      <c r="C540" s="2" t="s">
        <v>569</v>
      </c>
      <c r="D540" s="2" t="s">
        <v>568</v>
      </c>
      <c r="E540" s="2" t="s">
        <v>101</v>
      </c>
      <c r="F540" s="2"/>
      <c r="G540" s="2" t="s">
        <v>102</v>
      </c>
      <c r="H540" s="3">
        <v>810000</v>
      </c>
      <c r="I540" s="3">
        <v>162000</v>
      </c>
      <c r="J540" s="3">
        <v>0</v>
      </c>
      <c r="K540" s="3">
        <v>972000</v>
      </c>
      <c r="L540" t="s">
        <v>1071</v>
      </c>
      <c r="M540" t="s">
        <v>1072</v>
      </c>
      <c r="N540" t="s">
        <v>1073</v>
      </c>
      <c r="O540" t="s">
        <v>1074</v>
      </c>
      <c r="P540" t="s">
        <v>1075</v>
      </c>
      <c r="Q540" t="s">
        <v>1076</v>
      </c>
      <c r="R540" t="s">
        <v>1077</v>
      </c>
      <c r="S540" t="s">
        <v>1078</v>
      </c>
      <c r="T540" t="s">
        <v>1079</v>
      </c>
      <c r="U540" t="s">
        <v>1080</v>
      </c>
      <c r="V540" t="s">
        <v>1081</v>
      </c>
      <c r="W540" t="s">
        <v>1082</v>
      </c>
      <c r="X540">
        <v>20240630</v>
      </c>
      <c r="Y540" t="s">
        <v>1083</v>
      </c>
      <c r="Z540" t="s">
        <v>1084</v>
      </c>
      <c r="AA540" s="11" t="str">
        <f t="shared" si="8"/>
        <v>EXEC [dbo].[BalanceGeneralInsertar] @Nivel ='Auxiliar',@Transaccional ='Sí',@CodigoCuentaContable ='51052701', @NombreCuentaContable ='Auxilio de transporte',@Identificacion ='31383821',@Sucursal ='',@NombreTercero ='PATRICIA LOPEZ',@SaldoInicial = 810000,@MovimientoDebito = 162000,@MovimientoCredito =0,@SaldoFinal = 0,@Fecha ='20240630',@IdentificacionCliente = '901434038';</v>
      </c>
      <c r="AB540" t="s">
        <v>1085</v>
      </c>
    </row>
    <row r="541" spans="1:28" x14ac:dyDescent="0.25">
      <c r="A541" s="2" t="s">
        <v>25</v>
      </c>
      <c r="B541" s="2" t="s">
        <v>16</v>
      </c>
      <c r="C541" s="2" t="s">
        <v>570</v>
      </c>
      <c r="D541" s="2" t="s">
        <v>480</v>
      </c>
      <c r="E541" s="2"/>
      <c r="F541" s="2"/>
      <c r="G541" s="2"/>
      <c r="H541" s="3">
        <v>2234110</v>
      </c>
      <c r="I541" s="3">
        <v>360190</v>
      </c>
      <c r="J541" s="3">
        <v>0</v>
      </c>
      <c r="K541" s="3">
        <v>2594300</v>
      </c>
      <c r="L541" t="s">
        <v>1071</v>
      </c>
      <c r="M541" t="s">
        <v>1072</v>
      </c>
      <c r="N541" t="s">
        <v>1073</v>
      </c>
      <c r="O541" t="s">
        <v>1074</v>
      </c>
      <c r="P541" t="s">
        <v>1075</v>
      </c>
      <c r="Q541" t="s">
        <v>1076</v>
      </c>
      <c r="R541" t="s">
        <v>1077</v>
      </c>
      <c r="S541" t="s">
        <v>1078</v>
      </c>
      <c r="T541" t="s">
        <v>1079</v>
      </c>
      <c r="U541" t="s">
        <v>1080</v>
      </c>
      <c r="V541" t="s">
        <v>1081</v>
      </c>
      <c r="W541" t="s">
        <v>1082</v>
      </c>
      <c r="X541">
        <v>20240630</v>
      </c>
      <c r="Y541" t="s">
        <v>1083</v>
      </c>
      <c r="Z541" t="s">
        <v>1084</v>
      </c>
      <c r="AA541" s="11" t="str">
        <f t="shared" si="8"/>
        <v>EXEC [dbo].[BalanceGeneralInsertar] @Nivel ='Subcuenta',@Transaccional ='No',@CodigoCuentaContable ='510530', @NombreCuentaContable ='Cesantías',@Identificacion ='',@Sucursal ='',@NombreTercero ='',@SaldoInicial = 2234110,@MovimientoDebito = 360190,@MovimientoCredito =0,@SaldoFinal = 0,@Fecha ='20240630',@IdentificacionCliente = '901434038';</v>
      </c>
      <c r="AB541" t="s">
        <v>1085</v>
      </c>
    </row>
    <row r="542" spans="1:28" x14ac:dyDescent="0.25">
      <c r="A542" s="2" t="s">
        <v>28</v>
      </c>
      <c r="B542" s="2" t="s">
        <v>29</v>
      </c>
      <c r="C542" s="2" t="s">
        <v>571</v>
      </c>
      <c r="D542" s="2" t="s">
        <v>480</v>
      </c>
      <c r="E542" s="2" t="s">
        <v>119</v>
      </c>
      <c r="F542" s="2"/>
      <c r="G542" s="2" t="s">
        <v>120</v>
      </c>
      <c r="H542" s="3">
        <v>1333635</v>
      </c>
      <c r="I542" s="3">
        <v>180095</v>
      </c>
      <c r="J542" s="3">
        <v>0</v>
      </c>
      <c r="K542" s="3">
        <v>1513730</v>
      </c>
      <c r="L542" t="s">
        <v>1071</v>
      </c>
      <c r="M542" t="s">
        <v>1072</v>
      </c>
      <c r="N542" t="s">
        <v>1073</v>
      </c>
      <c r="O542" t="s">
        <v>1074</v>
      </c>
      <c r="P542" t="s">
        <v>1075</v>
      </c>
      <c r="Q542" t="s">
        <v>1076</v>
      </c>
      <c r="R542" t="s">
        <v>1077</v>
      </c>
      <c r="S542" t="s">
        <v>1078</v>
      </c>
      <c r="T542" t="s">
        <v>1079</v>
      </c>
      <c r="U542" t="s">
        <v>1080</v>
      </c>
      <c r="V542" t="s">
        <v>1081</v>
      </c>
      <c r="W542" t="s">
        <v>1082</v>
      </c>
      <c r="X542">
        <v>20240630</v>
      </c>
      <c r="Y542" t="s">
        <v>1083</v>
      </c>
      <c r="Z542" t="s">
        <v>1084</v>
      </c>
      <c r="AA542" s="11" t="str">
        <f t="shared" si="8"/>
        <v>EXEC [dbo].[BalanceGeneralInsertar] @Nivel ='Auxiliar',@Transaccional ='Sí',@CodigoCuentaContable ='51053001', @NombreCuentaContable ='Cesantías',@Identificacion ='80196373',@Sucursal ='',@NombreTercero ='JUAN FERNANDO DURAN LOPEZ',@SaldoInicial = 1333635,@MovimientoDebito = 180095,@MovimientoCredito =0,@SaldoFinal = 0,@Fecha ='20240630',@IdentificacionCliente = '901434038';</v>
      </c>
      <c r="AB542" t="s">
        <v>1085</v>
      </c>
    </row>
    <row r="543" spans="1:28" x14ac:dyDescent="0.25">
      <c r="A543" s="2" t="s">
        <v>28</v>
      </c>
      <c r="B543" s="2" t="s">
        <v>29</v>
      </c>
      <c r="C543" s="2" t="s">
        <v>571</v>
      </c>
      <c r="D543" s="2" t="s">
        <v>480</v>
      </c>
      <c r="E543" s="2" t="s">
        <v>101</v>
      </c>
      <c r="F543" s="2"/>
      <c r="G543" s="2" t="s">
        <v>102</v>
      </c>
      <c r="H543" s="3">
        <v>900475</v>
      </c>
      <c r="I543" s="3">
        <v>180095</v>
      </c>
      <c r="J543" s="3">
        <v>0</v>
      </c>
      <c r="K543" s="3">
        <v>1080570</v>
      </c>
      <c r="L543" t="s">
        <v>1071</v>
      </c>
      <c r="M543" t="s">
        <v>1072</v>
      </c>
      <c r="N543" t="s">
        <v>1073</v>
      </c>
      <c r="O543" t="s">
        <v>1074</v>
      </c>
      <c r="P543" t="s">
        <v>1075</v>
      </c>
      <c r="Q543" t="s">
        <v>1076</v>
      </c>
      <c r="R543" t="s">
        <v>1077</v>
      </c>
      <c r="S543" t="s">
        <v>1078</v>
      </c>
      <c r="T543" t="s">
        <v>1079</v>
      </c>
      <c r="U543" t="s">
        <v>1080</v>
      </c>
      <c r="V543" t="s">
        <v>1081</v>
      </c>
      <c r="W543" t="s">
        <v>1082</v>
      </c>
      <c r="X543">
        <v>20240630</v>
      </c>
      <c r="Y543" t="s">
        <v>1083</v>
      </c>
      <c r="Z543" t="s">
        <v>1084</v>
      </c>
      <c r="AA543" s="11" t="str">
        <f t="shared" si="8"/>
        <v>EXEC [dbo].[BalanceGeneralInsertar] @Nivel ='Auxiliar',@Transaccional ='Sí',@CodigoCuentaContable ='51053001', @NombreCuentaContable ='Cesantías',@Identificacion ='31383821',@Sucursal ='',@NombreTercero ='PATRICIA LOPEZ',@SaldoInicial = 900475,@MovimientoDebito = 180095,@MovimientoCredito =0,@SaldoFinal = 0,@Fecha ='20240630',@IdentificacionCliente = '901434038';</v>
      </c>
      <c r="AB543" t="s">
        <v>1085</v>
      </c>
    </row>
    <row r="544" spans="1:28" x14ac:dyDescent="0.25">
      <c r="A544" s="2" t="s">
        <v>25</v>
      </c>
      <c r="B544" s="2" t="s">
        <v>16</v>
      </c>
      <c r="C544" s="2" t="s">
        <v>572</v>
      </c>
      <c r="D544" s="2" t="s">
        <v>484</v>
      </c>
      <c r="E544" s="2"/>
      <c r="F544" s="2"/>
      <c r="G544" s="2"/>
      <c r="H544" s="3">
        <v>268090</v>
      </c>
      <c r="I544" s="3">
        <v>43222</v>
      </c>
      <c r="J544" s="3">
        <v>0</v>
      </c>
      <c r="K544" s="3">
        <v>311312</v>
      </c>
      <c r="L544" t="s">
        <v>1071</v>
      </c>
      <c r="M544" t="s">
        <v>1072</v>
      </c>
      <c r="N544" t="s">
        <v>1073</v>
      </c>
      <c r="O544" t="s">
        <v>1074</v>
      </c>
      <c r="P544" t="s">
        <v>1075</v>
      </c>
      <c r="Q544" t="s">
        <v>1076</v>
      </c>
      <c r="R544" t="s">
        <v>1077</v>
      </c>
      <c r="S544" t="s">
        <v>1078</v>
      </c>
      <c r="T544" t="s">
        <v>1079</v>
      </c>
      <c r="U544" t="s">
        <v>1080</v>
      </c>
      <c r="V544" t="s">
        <v>1081</v>
      </c>
      <c r="W544" t="s">
        <v>1082</v>
      </c>
      <c r="X544">
        <v>20240630</v>
      </c>
      <c r="Y544" t="s">
        <v>1083</v>
      </c>
      <c r="Z544" t="s">
        <v>1084</v>
      </c>
      <c r="AA544" s="11" t="str">
        <f t="shared" si="8"/>
        <v>EXEC [dbo].[BalanceGeneralInsertar] @Nivel ='Subcuenta',@Transaccional ='No',@CodigoCuentaContable ='510533', @NombreCuentaContable ='Intereses sobre cesantías',@Identificacion ='',@Sucursal ='',@NombreTercero ='',@SaldoInicial = 268090,@MovimientoDebito = 43222,@MovimientoCredito =0,@SaldoFinal = 0,@Fecha ='20240630',@IdentificacionCliente = '901434038';</v>
      </c>
      <c r="AB544" t="s">
        <v>1085</v>
      </c>
    </row>
    <row r="545" spans="1:28" x14ac:dyDescent="0.25">
      <c r="A545" s="2" t="s">
        <v>28</v>
      </c>
      <c r="B545" s="2" t="s">
        <v>29</v>
      </c>
      <c r="C545" s="2" t="s">
        <v>573</v>
      </c>
      <c r="D545" s="2" t="s">
        <v>484</v>
      </c>
      <c r="E545" s="2" t="s">
        <v>119</v>
      </c>
      <c r="F545" s="2"/>
      <c r="G545" s="2" t="s">
        <v>120</v>
      </c>
      <c r="H545" s="3">
        <v>160035</v>
      </c>
      <c r="I545" s="3">
        <v>21611</v>
      </c>
      <c r="J545" s="3">
        <v>0</v>
      </c>
      <c r="K545" s="3">
        <v>181646</v>
      </c>
      <c r="L545" t="s">
        <v>1071</v>
      </c>
      <c r="M545" t="s">
        <v>1072</v>
      </c>
      <c r="N545" t="s">
        <v>1073</v>
      </c>
      <c r="O545" t="s">
        <v>1074</v>
      </c>
      <c r="P545" t="s">
        <v>1075</v>
      </c>
      <c r="Q545" t="s">
        <v>1076</v>
      </c>
      <c r="R545" t="s">
        <v>1077</v>
      </c>
      <c r="S545" t="s">
        <v>1078</v>
      </c>
      <c r="T545" t="s">
        <v>1079</v>
      </c>
      <c r="U545" t="s">
        <v>1080</v>
      </c>
      <c r="V545" t="s">
        <v>1081</v>
      </c>
      <c r="W545" t="s">
        <v>1082</v>
      </c>
      <c r="X545">
        <v>20240630</v>
      </c>
      <c r="Y545" t="s">
        <v>1083</v>
      </c>
      <c r="Z545" t="s">
        <v>1084</v>
      </c>
      <c r="AA545" s="11" t="str">
        <f t="shared" si="8"/>
        <v>EXEC [dbo].[BalanceGeneralInsertar] @Nivel ='Auxiliar',@Transaccional ='Sí',@CodigoCuentaContable ='51053301', @NombreCuentaContable ='Intereses sobre cesantías',@Identificacion ='80196373',@Sucursal ='',@NombreTercero ='JUAN FERNANDO DURAN LOPEZ',@SaldoInicial = 160035,@MovimientoDebito = 21611,@MovimientoCredito =0,@SaldoFinal = 0,@Fecha ='20240630',@IdentificacionCliente = '901434038';</v>
      </c>
      <c r="AB545" t="s">
        <v>1085</v>
      </c>
    </row>
    <row r="546" spans="1:28" x14ac:dyDescent="0.25">
      <c r="A546" s="2" t="s">
        <v>28</v>
      </c>
      <c r="B546" s="2" t="s">
        <v>29</v>
      </c>
      <c r="C546" s="2" t="s">
        <v>573</v>
      </c>
      <c r="D546" s="2" t="s">
        <v>484</v>
      </c>
      <c r="E546" s="2" t="s">
        <v>101</v>
      </c>
      <c r="F546" s="2"/>
      <c r="G546" s="2" t="s">
        <v>102</v>
      </c>
      <c r="H546" s="3">
        <v>108055</v>
      </c>
      <c r="I546" s="3">
        <v>21611</v>
      </c>
      <c r="J546" s="3">
        <v>0</v>
      </c>
      <c r="K546" s="3">
        <v>129666</v>
      </c>
      <c r="L546" t="s">
        <v>1071</v>
      </c>
      <c r="M546" t="s">
        <v>1072</v>
      </c>
      <c r="N546" t="s">
        <v>1073</v>
      </c>
      <c r="O546" t="s">
        <v>1074</v>
      </c>
      <c r="P546" t="s">
        <v>1075</v>
      </c>
      <c r="Q546" t="s">
        <v>1076</v>
      </c>
      <c r="R546" t="s">
        <v>1077</v>
      </c>
      <c r="S546" t="s">
        <v>1078</v>
      </c>
      <c r="T546" t="s">
        <v>1079</v>
      </c>
      <c r="U546" t="s">
        <v>1080</v>
      </c>
      <c r="V546" t="s">
        <v>1081</v>
      </c>
      <c r="W546" t="s">
        <v>1082</v>
      </c>
      <c r="X546">
        <v>20240630</v>
      </c>
      <c r="Y546" t="s">
        <v>1083</v>
      </c>
      <c r="Z546" t="s">
        <v>1084</v>
      </c>
      <c r="AA546" s="11" t="str">
        <f t="shared" si="8"/>
        <v>EXEC [dbo].[BalanceGeneralInsertar] @Nivel ='Auxiliar',@Transaccional ='Sí',@CodigoCuentaContable ='51053301', @NombreCuentaContable ='Intereses sobre cesantías',@Identificacion ='31383821',@Sucursal ='',@NombreTercero ='PATRICIA LOPEZ',@SaldoInicial = 108055,@MovimientoDebito = 21611,@MovimientoCredito =0,@SaldoFinal = 0,@Fecha ='20240630',@IdentificacionCliente = '901434038';</v>
      </c>
      <c r="AB546" t="s">
        <v>1085</v>
      </c>
    </row>
    <row r="547" spans="1:28" x14ac:dyDescent="0.25">
      <c r="A547" s="2" t="s">
        <v>25</v>
      </c>
      <c r="B547" s="2" t="s">
        <v>16</v>
      </c>
      <c r="C547" s="2" t="s">
        <v>574</v>
      </c>
      <c r="D547" s="2" t="s">
        <v>487</v>
      </c>
      <c r="E547" s="2"/>
      <c r="F547" s="2"/>
      <c r="G547" s="2"/>
      <c r="H547" s="3">
        <v>2234110</v>
      </c>
      <c r="I547" s="3">
        <v>360190</v>
      </c>
      <c r="J547" s="3">
        <v>0</v>
      </c>
      <c r="K547" s="3">
        <v>2594300</v>
      </c>
      <c r="L547" t="s">
        <v>1071</v>
      </c>
      <c r="M547" t="s">
        <v>1072</v>
      </c>
      <c r="N547" t="s">
        <v>1073</v>
      </c>
      <c r="O547" t="s">
        <v>1074</v>
      </c>
      <c r="P547" t="s">
        <v>1075</v>
      </c>
      <c r="Q547" t="s">
        <v>1076</v>
      </c>
      <c r="R547" t="s">
        <v>1077</v>
      </c>
      <c r="S547" t="s">
        <v>1078</v>
      </c>
      <c r="T547" t="s">
        <v>1079</v>
      </c>
      <c r="U547" t="s">
        <v>1080</v>
      </c>
      <c r="V547" t="s">
        <v>1081</v>
      </c>
      <c r="W547" t="s">
        <v>1082</v>
      </c>
      <c r="X547">
        <v>20240630</v>
      </c>
      <c r="Y547" t="s">
        <v>1083</v>
      </c>
      <c r="Z547" t="s">
        <v>1084</v>
      </c>
      <c r="AA547" s="11" t="str">
        <f t="shared" si="8"/>
        <v>EXEC [dbo].[BalanceGeneralInsertar] @Nivel ='Subcuenta',@Transaccional ='No',@CodigoCuentaContable ='510536', @NombreCuentaContable ='Prima de servicios',@Identificacion ='',@Sucursal ='',@NombreTercero ='',@SaldoInicial = 2234110,@MovimientoDebito = 360190,@MovimientoCredito =0,@SaldoFinal = 0,@Fecha ='20240630',@IdentificacionCliente = '901434038';</v>
      </c>
      <c r="AB547" t="s">
        <v>1085</v>
      </c>
    </row>
    <row r="548" spans="1:28" x14ac:dyDescent="0.25">
      <c r="A548" s="2" t="s">
        <v>28</v>
      </c>
      <c r="B548" s="2" t="s">
        <v>29</v>
      </c>
      <c r="C548" s="2" t="s">
        <v>575</v>
      </c>
      <c r="D548" s="2" t="s">
        <v>487</v>
      </c>
      <c r="E548" s="2" t="s">
        <v>119</v>
      </c>
      <c r="F548" s="2"/>
      <c r="G548" s="2" t="s">
        <v>120</v>
      </c>
      <c r="H548" s="3">
        <v>1333635</v>
      </c>
      <c r="I548" s="3">
        <v>180095</v>
      </c>
      <c r="J548" s="3">
        <v>0</v>
      </c>
      <c r="K548" s="3">
        <v>1513730</v>
      </c>
      <c r="L548" t="s">
        <v>1071</v>
      </c>
      <c r="M548" t="s">
        <v>1072</v>
      </c>
      <c r="N548" t="s">
        <v>1073</v>
      </c>
      <c r="O548" t="s">
        <v>1074</v>
      </c>
      <c r="P548" t="s">
        <v>1075</v>
      </c>
      <c r="Q548" t="s">
        <v>1076</v>
      </c>
      <c r="R548" t="s">
        <v>1077</v>
      </c>
      <c r="S548" t="s">
        <v>1078</v>
      </c>
      <c r="T548" t="s">
        <v>1079</v>
      </c>
      <c r="U548" t="s">
        <v>1080</v>
      </c>
      <c r="V548" t="s">
        <v>1081</v>
      </c>
      <c r="W548" t="s">
        <v>1082</v>
      </c>
      <c r="X548">
        <v>20240630</v>
      </c>
      <c r="Y548" t="s">
        <v>1083</v>
      </c>
      <c r="Z548" t="s">
        <v>1084</v>
      </c>
      <c r="AA548" s="11" t="str">
        <f t="shared" si="8"/>
        <v>EXEC [dbo].[BalanceGeneralInsertar] @Nivel ='Auxiliar',@Transaccional ='Sí',@CodigoCuentaContable ='51053601', @NombreCuentaContable ='Prima de servicios',@Identificacion ='80196373',@Sucursal ='',@NombreTercero ='JUAN FERNANDO DURAN LOPEZ',@SaldoInicial = 1333635,@MovimientoDebito = 180095,@MovimientoCredito =0,@SaldoFinal = 0,@Fecha ='20240630',@IdentificacionCliente = '901434038';</v>
      </c>
      <c r="AB548" t="s">
        <v>1085</v>
      </c>
    </row>
    <row r="549" spans="1:28" x14ac:dyDescent="0.25">
      <c r="A549" s="2" t="s">
        <v>28</v>
      </c>
      <c r="B549" s="2" t="s">
        <v>29</v>
      </c>
      <c r="C549" s="2" t="s">
        <v>575</v>
      </c>
      <c r="D549" s="2" t="s">
        <v>487</v>
      </c>
      <c r="E549" s="2" t="s">
        <v>101</v>
      </c>
      <c r="F549" s="2"/>
      <c r="G549" s="2" t="s">
        <v>102</v>
      </c>
      <c r="H549" s="3">
        <v>900475</v>
      </c>
      <c r="I549" s="3">
        <v>180095</v>
      </c>
      <c r="J549" s="3">
        <v>0</v>
      </c>
      <c r="K549" s="3">
        <v>1080570</v>
      </c>
      <c r="L549" t="s">
        <v>1071</v>
      </c>
      <c r="M549" t="s">
        <v>1072</v>
      </c>
      <c r="N549" t="s">
        <v>1073</v>
      </c>
      <c r="O549" t="s">
        <v>1074</v>
      </c>
      <c r="P549" t="s">
        <v>1075</v>
      </c>
      <c r="Q549" t="s">
        <v>1076</v>
      </c>
      <c r="R549" t="s">
        <v>1077</v>
      </c>
      <c r="S549" t="s">
        <v>1078</v>
      </c>
      <c r="T549" t="s">
        <v>1079</v>
      </c>
      <c r="U549" t="s">
        <v>1080</v>
      </c>
      <c r="V549" t="s">
        <v>1081</v>
      </c>
      <c r="W549" t="s">
        <v>1082</v>
      </c>
      <c r="X549">
        <v>20240630</v>
      </c>
      <c r="Y549" t="s">
        <v>1083</v>
      </c>
      <c r="Z549" t="s">
        <v>1084</v>
      </c>
      <c r="AA549" s="11" t="str">
        <f t="shared" si="8"/>
        <v>EXEC [dbo].[BalanceGeneralInsertar] @Nivel ='Auxiliar',@Transaccional ='Sí',@CodigoCuentaContable ='51053601', @NombreCuentaContable ='Prima de servicios',@Identificacion ='31383821',@Sucursal ='',@NombreTercero ='PATRICIA LOPEZ',@SaldoInicial = 900475,@MovimientoDebito = 180095,@MovimientoCredito =0,@SaldoFinal = 0,@Fecha ='20240630',@IdentificacionCliente = '901434038';</v>
      </c>
      <c r="AB549" t="s">
        <v>1085</v>
      </c>
    </row>
    <row r="550" spans="1:28" x14ac:dyDescent="0.25">
      <c r="A550" s="2" t="s">
        <v>25</v>
      </c>
      <c r="B550" s="2" t="s">
        <v>16</v>
      </c>
      <c r="C550" s="2" t="s">
        <v>576</v>
      </c>
      <c r="D550" s="2" t="s">
        <v>577</v>
      </c>
      <c r="E550" s="2"/>
      <c r="F550" s="2"/>
      <c r="G550" s="2"/>
      <c r="H550" s="3">
        <v>1134240</v>
      </c>
      <c r="I550" s="3">
        <v>166800</v>
      </c>
      <c r="J550" s="3">
        <v>0</v>
      </c>
      <c r="K550" s="3">
        <v>1301040</v>
      </c>
      <c r="L550" t="s">
        <v>1071</v>
      </c>
      <c r="M550" t="s">
        <v>1072</v>
      </c>
      <c r="N550" t="s">
        <v>1073</v>
      </c>
      <c r="O550" t="s">
        <v>1074</v>
      </c>
      <c r="P550" t="s">
        <v>1075</v>
      </c>
      <c r="Q550" t="s">
        <v>1076</v>
      </c>
      <c r="R550" t="s">
        <v>1077</v>
      </c>
      <c r="S550" t="s">
        <v>1078</v>
      </c>
      <c r="T550" t="s">
        <v>1079</v>
      </c>
      <c r="U550" t="s">
        <v>1080</v>
      </c>
      <c r="V550" t="s">
        <v>1081</v>
      </c>
      <c r="W550" t="s">
        <v>1082</v>
      </c>
      <c r="X550">
        <v>20240630</v>
      </c>
      <c r="Y550" t="s">
        <v>1083</v>
      </c>
      <c r="Z550" t="s">
        <v>1084</v>
      </c>
      <c r="AA550" s="11" t="str">
        <f t="shared" si="8"/>
        <v>EXEC [dbo].[BalanceGeneralInsertar] @Nivel ='Subcuenta',@Transaccional ='No',@CodigoCuentaContable ='510539', @NombreCuentaContable ='Vacaciones',@Identificacion ='',@Sucursal ='',@NombreTercero ='',@SaldoInicial = 1134240,@MovimientoDebito = 166800,@MovimientoCredito =0,@SaldoFinal = 0,@Fecha ='20240630',@IdentificacionCliente = '901434038';</v>
      </c>
      <c r="AB550" t="s">
        <v>1085</v>
      </c>
    </row>
    <row r="551" spans="1:28" x14ac:dyDescent="0.25">
      <c r="A551" s="2" t="s">
        <v>28</v>
      </c>
      <c r="B551" s="2" t="s">
        <v>29</v>
      </c>
      <c r="C551" s="2" t="s">
        <v>578</v>
      </c>
      <c r="D551" s="2" t="s">
        <v>577</v>
      </c>
      <c r="E551" s="2" t="s">
        <v>119</v>
      </c>
      <c r="F551" s="2"/>
      <c r="G551" s="2" t="s">
        <v>120</v>
      </c>
      <c r="H551" s="3">
        <v>717240</v>
      </c>
      <c r="I551" s="3">
        <v>83400</v>
      </c>
      <c r="J551" s="3">
        <v>0</v>
      </c>
      <c r="K551" s="3">
        <v>800640</v>
      </c>
      <c r="L551" t="s">
        <v>1071</v>
      </c>
      <c r="M551" t="s">
        <v>1072</v>
      </c>
      <c r="N551" t="s">
        <v>1073</v>
      </c>
      <c r="O551" t="s">
        <v>1074</v>
      </c>
      <c r="P551" t="s">
        <v>1075</v>
      </c>
      <c r="Q551" t="s">
        <v>1076</v>
      </c>
      <c r="R551" t="s">
        <v>1077</v>
      </c>
      <c r="S551" t="s">
        <v>1078</v>
      </c>
      <c r="T551" t="s">
        <v>1079</v>
      </c>
      <c r="U551" t="s">
        <v>1080</v>
      </c>
      <c r="V551" t="s">
        <v>1081</v>
      </c>
      <c r="W551" t="s">
        <v>1082</v>
      </c>
      <c r="X551">
        <v>20240630</v>
      </c>
      <c r="Y551" t="s">
        <v>1083</v>
      </c>
      <c r="Z551" t="s">
        <v>1084</v>
      </c>
      <c r="AA551" s="11" t="str">
        <f t="shared" si="8"/>
        <v>EXEC [dbo].[BalanceGeneralInsertar] @Nivel ='Auxiliar',@Transaccional ='Sí',@CodigoCuentaContable ='51053901', @NombreCuentaContable ='Vacaciones',@Identificacion ='80196373',@Sucursal ='',@NombreTercero ='JUAN FERNANDO DURAN LOPEZ',@SaldoInicial = 717240,@MovimientoDebito = 83400,@MovimientoCredito =0,@SaldoFinal = 0,@Fecha ='20240630',@IdentificacionCliente = '901434038';</v>
      </c>
      <c r="AB551" t="s">
        <v>1085</v>
      </c>
    </row>
    <row r="552" spans="1:28" x14ac:dyDescent="0.25">
      <c r="A552" s="2" t="s">
        <v>28</v>
      </c>
      <c r="B552" s="2" t="s">
        <v>29</v>
      </c>
      <c r="C552" s="2" t="s">
        <v>578</v>
      </c>
      <c r="D552" s="2" t="s">
        <v>577</v>
      </c>
      <c r="E552" s="2" t="s">
        <v>101</v>
      </c>
      <c r="F552" s="2"/>
      <c r="G552" s="2" t="s">
        <v>102</v>
      </c>
      <c r="H552" s="3">
        <v>417000</v>
      </c>
      <c r="I552" s="3">
        <v>83400</v>
      </c>
      <c r="J552" s="3">
        <v>0</v>
      </c>
      <c r="K552" s="3">
        <v>500400</v>
      </c>
      <c r="L552" t="s">
        <v>1071</v>
      </c>
      <c r="M552" t="s">
        <v>1072</v>
      </c>
      <c r="N552" t="s">
        <v>1073</v>
      </c>
      <c r="O552" t="s">
        <v>1074</v>
      </c>
      <c r="P552" t="s">
        <v>1075</v>
      </c>
      <c r="Q552" t="s">
        <v>1076</v>
      </c>
      <c r="R552" t="s">
        <v>1077</v>
      </c>
      <c r="S552" t="s">
        <v>1078</v>
      </c>
      <c r="T552" t="s">
        <v>1079</v>
      </c>
      <c r="U552" t="s">
        <v>1080</v>
      </c>
      <c r="V552" t="s">
        <v>1081</v>
      </c>
      <c r="W552" t="s">
        <v>1082</v>
      </c>
      <c r="X552">
        <v>20240630</v>
      </c>
      <c r="Y552" t="s">
        <v>1083</v>
      </c>
      <c r="Z552" t="s">
        <v>1084</v>
      </c>
      <c r="AA552" s="11" t="str">
        <f t="shared" si="8"/>
        <v>EXEC [dbo].[BalanceGeneralInsertar] @Nivel ='Auxiliar',@Transaccional ='Sí',@CodigoCuentaContable ='51053901', @NombreCuentaContable ='Vacaciones',@Identificacion ='31383821',@Sucursal ='',@NombreTercero ='PATRICIA LOPEZ',@SaldoInicial = 417000,@MovimientoDebito = 83400,@MovimientoCredito =0,@SaldoFinal = 0,@Fecha ='20240630',@IdentificacionCliente = '901434038';</v>
      </c>
      <c r="AB552" t="s">
        <v>1085</v>
      </c>
    </row>
    <row r="553" spans="1:28" x14ac:dyDescent="0.25">
      <c r="A553" s="2" t="s">
        <v>25</v>
      </c>
      <c r="B553" s="2" t="s">
        <v>16</v>
      </c>
      <c r="C553" s="2" t="s">
        <v>579</v>
      </c>
      <c r="D553" s="2" t="s">
        <v>580</v>
      </c>
      <c r="E553" s="2"/>
      <c r="F553" s="2"/>
      <c r="G553" s="2"/>
      <c r="H553" s="3">
        <v>132100</v>
      </c>
      <c r="I553" s="3">
        <v>21000</v>
      </c>
      <c r="J553" s="3">
        <v>0</v>
      </c>
      <c r="K553" s="3">
        <v>153100</v>
      </c>
      <c r="L553" t="s">
        <v>1071</v>
      </c>
      <c r="M553" t="s">
        <v>1072</v>
      </c>
      <c r="N553" t="s">
        <v>1073</v>
      </c>
      <c r="O553" t="s">
        <v>1074</v>
      </c>
      <c r="P553" t="s">
        <v>1075</v>
      </c>
      <c r="Q553" t="s">
        <v>1076</v>
      </c>
      <c r="R553" t="s">
        <v>1077</v>
      </c>
      <c r="S553" t="s">
        <v>1078</v>
      </c>
      <c r="T553" t="s">
        <v>1079</v>
      </c>
      <c r="U553" t="s">
        <v>1080</v>
      </c>
      <c r="V553" t="s">
        <v>1081</v>
      </c>
      <c r="W553" t="s">
        <v>1082</v>
      </c>
      <c r="X553">
        <v>20240630</v>
      </c>
      <c r="Y553" t="s">
        <v>1083</v>
      </c>
      <c r="Z553" t="s">
        <v>1084</v>
      </c>
      <c r="AA553" s="11" t="str">
        <f t="shared" si="8"/>
        <v>EXEC [dbo].[BalanceGeneralInsertar] @Nivel ='Subcuenta',@Transaccional ='No',@CodigoCuentaContable ='510568', @NombreCuentaContable ='Aportes a administradora de riesgos laborales',@Identificacion ='',@Sucursal ='',@NombreTercero ='',@SaldoInicial = 132100,@MovimientoDebito = 21000,@MovimientoCredito =0,@SaldoFinal = 0,@Fecha ='20240630',@IdentificacionCliente = '901434038';</v>
      </c>
      <c r="AB553" t="s">
        <v>1085</v>
      </c>
    </row>
    <row r="554" spans="1:28" x14ac:dyDescent="0.25">
      <c r="A554" s="2" t="s">
        <v>28</v>
      </c>
      <c r="B554" s="2" t="s">
        <v>29</v>
      </c>
      <c r="C554" s="2" t="s">
        <v>581</v>
      </c>
      <c r="D554" s="2" t="s">
        <v>580</v>
      </c>
      <c r="E554" s="2" t="s">
        <v>119</v>
      </c>
      <c r="F554" s="2"/>
      <c r="G554" s="2" t="s">
        <v>120</v>
      </c>
      <c r="H554" s="3">
        <v>79600</v>
      </c>
      <c r="I554" s="3">
        <v>10500</v>
      </c>
      <c r="J554" s="3">
        <v>0</v>
      </c>
      <c r="K554" s="3">
        <v>90100</v>
      </c>
      <c r="L554" t="s">
        <v>1071</v>
      </c>
      <c r="M554" t="s">
        <v>1072</v>
      </c>
      <c r="N554" t="s">
        <v>1073</v>
      </c>
      <c r="O554" t="s">
        <v>1074</v>
      </c>
      <c r="P554" t="s">
        <v>1075</v>
      </c>
      <c r="Q554" t="s">
        <v>1076</v>
      </c>
      <c r="R554" t="s">
        <v>1077</v>
      </c>
      <c r="S554" t="s">
        <v>1078</v>
      </c>
      <c r="T554" t="s">
        <v>1079</v>
      </c>
      <c r="U554" t="s">
        <v>1080</v>
      </c>
      <c r="V554" t="s">
        <v>1081</v>
      </c>
      <c r="W554" t="s">
        <v>1082</v>
      </c>
      <c r="X554">
        <v>20240630</v>
      </c>
      <c r="Y554" t="s">
        <v>1083</v>
      </c>
      <c r="Z554" t="s">
        <v>1084</v>
      </c>
      <c r="AA554" s="11" t="str">
        <f t="shared" si="8"/>
        <v>EXEC [dbo].[BalanceGeneralInsertar] @Nivel ='Auxiliar',@Transaccional ='Sí',@CodigoCuentaContable ='51056801', @NombreCuentaContable ='Aportes a administradora de riesgos laborales',@Identificacion ='80196373',@Sucursal ='',@NombreTercero ='JUAN FERNANDO DURAN LOPEZ',@SaldoInicial = 79600,@MovimientoDebito = 10500,@MovimientoCredito =0,@SaldoFinal = 0,@Fecha ='20240630',@IdentificacionCliente = '901434038';</v>
      </c>
      <c r="AB554" t="s">
        <v>1085</v>
      </c>
    </row>
    <row r="555" spans="1:28" x14ac:dyDescent="0.25">
      <c r="A555" s="2" t="s">
        <v>28</v>
      </c>
      <c r="B555" s="2" t="s">
        <v>29</v>
      </c>
      <c r="C555" s="2" t="s">
        <v>581</v>
      </c>
      <c r="D555" s="2" t="s">
        <v>580</v>
      </c>
      <c r="E555" s="2" t="s">
        <v>101</v>
      </c>
      <c r="F555" s="2"/>
      <c r="G555" s="2" t="s">
        <v>102</v>
      </c>
      <c r="H555" s="3">
        <v>52500</v>
      </c>
      <c r="I555" s="3">
        <v>10500</v>
      </c>
      <c r="J555" s="3">
        <v>0</v>
      </c>
      <c r="K555" s="3">
        <v>63000</v>
      </c>
      <c r="L555" t="s">
        <v>1071</v>
      </c>
      <c r="M555" t="s">
        <v>1072</v>
      </c>
      <c r="N555" t="s">
        <v>1073</v>
      </c>
      <c r="O555" t="s">
        <v>1074</v>
      </c>
      <c r="P555" t="s">
        <v>1075</v>
      </c>
      <c r="Q555" t="s">
        <v>1076</v>
      </c>
      <c r="R555" t="s">
        <v>1077</v>
      </c>
      <c r="S555" t="s">
        <v>1078</v>
      </c>
      <c r="T555" t="s">
        <v>1079</v>
      </c>
      <c r="U555" t="s">
        <v>1080</v>
      </c>
      <c r="V555" t="s">
        <v>1081</v>
      </c>
      <c r="W555" t="s">
        <v>1082</v>
      </c>
      <c r="X555">
        <v>20240630</v>
      </c>
      <c r="Y555" t="s">
        <v>1083</v>
      </c>
      <c r="Z555" t="s">
        <v>1084</v>
      </c>
      <c r="AA555" s="11" t="str">
        <f t="shared" si="8"/>
        <v>EXEC [dbo].[BalanceGeneralInsertar] @Nivel ='Auxiliar',@Transaccional ='Sí',@CodigoCuentaContable ='51056801', @NombreCuentaContable ='Aportes a administradora de riesgos laborales',@Identificacion ='31383821',@Sucursal ='',@NombreTercero ='PATRICIA LOPEZ',@SaldoInicial = 52500,@MovimientoDebito = 10500,@MovimientoCredito =0,@SaldoFinal = 0,@Fecha ='20240630',@IdentificacionCliente = '901434038';</v>
      </c>
      <c r="AB555" t="s">
        <v>1085</v>
      </c>
    </row>
    <row r="556" spans="1:28" x14ac:dyDescent="0.25">
      <c r="A556" s="2" t="s">
        <v>25</v>
      </c>
      <c r="B556" s="2" t="s">
        <v>16</v>
      </c>
      <c r="C556" s="2" t="s">
        <v>582</v>
      </c>
      <c r="D556" s="2" t="s">
        <v>583</v>
      </c>
      <c r="E556" s="2"/>
      <c r="F556" s="2"/>
      <c r="G556" s="2"/>
      <c r="H556" s="3">
        <v>1824000</v>
      </c>
      <c r="I556" s="3">
        <v>240000</v>
      </c>
      <c r="J556" s="3">
        <v>0</v>
      </c>
      <c r="K556" s="3">
        <v>2064000</v>
      </c>
      <c r="L556" t="s">
        <v>1071</v>
      </c>
      <c r="M556" t="s">
        <v>1072</v>
      </c>
      <c r="N556" t="s">
        <v>1073</v>
      </c>
      <c r="O556" t="s">
        <v>1074</v>
      </c>
      <c r="P556" t="s">
        <v>1075</v>
      </c>
      <c r="Q556" t="s">
        <v>1076</v>
      </c>
      <c r="R556" t="s">
        <v>1077</v>
      </c>
      <c r="S556" t="s">
        <v>1078</v>
      </c>
      <c r="T556" t="s">
        <v>1079</v>
      </c>
      <c r="U556" t="s">
        <v>1080</v>
      </c>
      <c r="V556" t="s">
        <v>1081</v>
      </c>
      <c r="W556" t="s">
        <v>1082</v>
      </c>
      <c r="X556">
        <v>20240630</v>
      </c>
      <c r="Y556" t="s">
        <v>1083</v>
      </c>
      <c r="Z556" t="s">
        <v>1084</v>
      </c>
      <c r="AA556" s="11" t="str">
        <f t="shared" si="8"/>
        <v>EXEC [dbo].[BalanceGeneralInsertar] @Nivel ='Subcuenta',@Transaccional ='No',@CodigoCuentaContable ='510570', @NombreCuentaContable ='Aporte a fondos de pensión y/o cesantías',@Identificacion ='',@Sucursal ='',@NombreTercero ='',@SaldoInicial = 1824000,@MovimientoDebito = 240000,@MovimientoCredito =0,@SaldoFinal = 0,@Fecha ='20240630',@IdentificacionCliente = '901434038';</v>
      </c>
      <c r="AB556" t="s">
        <v>1085</v>
      </c>
    </row>
    <row r="557" spans="1:28" x14ac:dyDescent="0.25">
      <c r="A557" s="2" t="s">
        <v>28</v>
      </c>
      <c r="B557" s="2" t="s">
        <v>29</v>
      </c>
      <c r="C557" s="2" t="s">
        <v>584</v>
      </c>
      <c r="D557" s="2" t="s">
        <v>583</v>
      </c>
      <c r="E557" s="2" t="s">
        <v>119</v>
      </c>
      <c r="F557" s="2"/>
      <c r="G557" s="2" t="s">
        <v>120</v>
      </c>
      <c r="H557" s="3">
        <v>1824000</v>
      </c>
      <c r="I557" s="3">
        <v>240000</v>
      </c>
      <c r="J557" s="3">
        <v>0</v>
      </c>
      <c r="K557" s="3">
        <v>2064000</v>
      </c>
      <c r="L557" t="s">
        <v>1071</v>
      </c>
      <c r="M557" t="s">
        <v>1072</v>
      </c>
      <c r="N557" t="s">
        <v>1073</v>
      </c>
      <c r="O557" t="s">
        <v>1074</v>
      </c>
      <c r="P557" t="s">
        <v>1075</v>
      </c>
      <c r="Q557" t="s">
        <v>1076</v>
      </c>
      <c r="R557" t="s">
        <v>1077</v>
      </c>
      <c r="S557" t="s">
        <v>1078</v>
      </c>
      <c r="T557" t="s">
        <v>1079</v>
      </c>
      <c r="U557" t="s">
        <v>1080</v>
      </c>
      <c r="V557" t="s">
        <v>1081</v>
      </c>
      <c r="W557" t="s">
        <v>1082</v>
      </c>
      <c r="X557">
        <v>20240630</v>
      </c>
      <c r="Y557" t="s">
        <v>1083</v>
      </c>
      <c r="Z557" t="s">
        <v>1084</v>
      </c>
      <c r="AA557" s="11" t="str">
        <f t="shared" si="8"/>
        <v>EXEC [dbo].[BalanceGeneralInsertar] @Nivel ='Auxiliar',@Transaccional ='Sí',@CodigoCuentaContable ='51057001', @NombreCuentaContable ='Aporte a fondos de pensión y/o cesantías',@Identificacion ='80196373',@Sucursal ='',@NombreTercero ='JUAN FERNANDO DURAN LOPEZ',@SaldoInicial = 1824000,@MovimientoDebito = 240000,@MovimientoCredito =0,@SaldoFinal = 0,@Fecha ='20240630',@IdentificacionCliente = '901434038';</v>
      </c>
      <c r="AB557" t="s">
        <v>1085</v>
      </c>
    </row>
    <row r="558" spans="1:28" x14ac:dyDescent="0.25">
      <c r="A558" s="2" t="s">
        <v>25</v>
      </c>
      <c r="B558" s="2" t="s">
        <v>16</v>
      </c>
      <c r="C558" s="2" t="s">
        <v>585</v>
      </c>
      <c r="D558" s="2" t="s">
        <v>586</v>
      </c>
      <c r="E558" s="2"/>
      <c r="F558" s="2"/>
      <c r="G558" s="2"/>
      <c r="H558" s="3">
        <v>1008000</v>
      </c>
      <c r="I558" s="3">
        <v>160000</v>
      </c>
      <c r="J558" s="3">
        <v>0</v>
      </c>
      <c r="K558" s="3">
        <v>1168000</v>
      </c>
      <c r="L558" t="s">
        <v>1071</v>
      </c>
      <c r="M558" t="s">
        <v>1072</v>
      </c>
      <c r="N558" t="s">
        <v>1073</v>
      </c>
      <c r="O558" t="s">
        <v>1074</v>
      </c>
      <c r="P558" t="s">
        <v>1075</v>
      </c>
      <c r="Q558" t="s">
        <v>1076</v>
      </c>
      <c r="R558" t="s">
        <v>1077</v>
      </c>
      <c r="S558" t="s">
        <v>1078</v>
      </c>
      <c r="T558" t="s">
        <v>1079</v>
      </c>
      <c r="U558" t="s">
        <v>1080</v>
      </c>
      <c r="V558" t="s">
        <v>1081</v>
      </c>
      <c r="W558" t="s">
        <v>1082</v>
      </c>
      <c r="X558">
        <v>20240630</v>
      </c>
      <c r="Y558" t="s">
        <v>1083</v>
      </c>
      <c r="Z558" t="s">
        <v>1084</v>
      </c>
      <c r="AA558" s="11" t="str">
        <f t="shared" si="8"/>
        <v>EXEC [dbo].[BalanceGeneralInsertar] @Nivel ='Subcuenta',@Transaccional ='No',@CodigoCuentaContable ='510572', @NombreCuentaContable ='Aportes cajas de compensación familiar',@Identificacion ='',@Sucursal ='',@NombreTercero ='',@SaldoInicial = 1008000,@MovimientoDebito = 160000,@MovimientoCredito =0,@SaldoFinal = 0,@Fecha ='20240630',@IdentificacionCliente = '901434038';</v>
      </c>
      <c r="AB558" t="s">
        <v>1085</v>
      </c>
    </row>
    <row r="559" spans="1:28" x14ac:dyDescent="0.25">
      <c r="A559" s="2" t="s">
        <v>28</v>
      </c>
      <c r="B559" s="2" t="s">
        <v>29</v>
      </c>
      <c r="C559" s="2" t="s">
        <v>587</v>
      </c>
      <c r="D559" s="2" t="s">
        <v>586</v>
      </c>
      <c r="E559" s="2" t="s">
        <v>119</v>
      </c>
      <c r="F559" s="2"/>
      <c r="G559" s="2" t="s">
        <v>120</v>
      </c>
      <c r="H559" s="3">
        <v>608000</v>
      </c>
      <c r="I559" s="3">
        <v>80000</v>
      </c>
      <c r="J559" s="3">
        <v>0</v>
      </c>
      <c r="K559" s="3">
        <v>688000</v>
      </c>
      <c r="L559" t="s">
        <v>1071</v>
      </c>
      <c r="M559" t="s">
        <v>1072</v>
      </c>
      <c r="N559" t="s">
        <v>1073</v>
      </c>
      <c r="O559" t="s">
        <v>1074</v>
      </c>
      <c r="P559" t="s">
        <v>1075</v>
      </c>
      <c r="Q559" t="s">
        <v>1076</v>
      </c>
      <c r="R559" t="s">
        <v>1077</v>
      </c>
      <c r="S559" t="s">
        <v>1078</v>
      </c>
      <c r="T559" t="s">
        <v>1079</v>
      </c>
      <c r="U559" t="s">
        <v>1080</v>
      </c>
      <c r="V559" t="s">
        <v>1081</v>
      </c>
      <c r="W559" t="s">
        <v>1082</v>
      </c>
      <c r="X559">
        <v>20240630</v>
      </c>
      <c r="Y559" t="s">
        <v>1083</v>
      </c>
      <c r="Z559" t="s">
        <v>1084</v>
      </c>
      <c r="AA559" s="11" t="str">
        <f t="shared" si="8"/>
        <v>EXEC [dbo].[BalanceGeneralInsertar] @Nivel ='Auxiliar',@Transaccional ='Sí',@CodigoCuentaContable ='51057201', @NombreCuentaContable ='Aportes cajas de compensación familiar',@Identificacion ='80196373',@Sucursal ='',@NombreTercero ='JUAN FERNANDO DURAN LOPEZ',@SaldoInicial = 608000,@MovimientoDebito = 80000,@MovimientoCredito =0,@SaldoFinal = 0,@Fecha ='20240630',@IdentificacionCliente = '901434038';</v>
      </c>
      <c r="AB559" t="s">
        <v>1085</v>
      </c>
    </row>
    <row r="560" spans="1:28" x14ac:dyDescent="0.25">
      <c r="A560" s="2" t="s">
        <v>28</v>
      </c>
      <c r="B560" s="2" t="s">
        <v>29</v>
      </c>
      <c r="C560" s="2" t="s">
        <v>587</v>
      </c>
      <c r="D560" s="2" t="s">
        <v>586</v>
      </c>
      <c r="E560" s="2" t="s">
        <v>101</v>
      </c>
      <c r="F560" s="2"/>
      <c r="G560" s="2" t="s">
        <v>102</v>
      </c>
      <c r="H560" s="3">
        <v>400000</v>
      </c>
      <c r="I560" s="3">
        <v>80000</v>
      </c>
      <c r="J560" s="3">
        <v>0</v>
      </c>
      <c r="K560" s="3">
        <v>480000</v>
      </c>
      <c r="L560" t="s">
        <v>1071</v>
      </c>
      <c r="M560" t="s">
        <v>1072</v>
      </c>
      <c r="N560" t="s">
        <v>1073</v>
      </c>
      <c r="O560" t="s">
        <v>1074</v>
      </c>
      <c r="P560" t="s">
        <v>1075</v>
      </c>
      <c r="Q560" t="s">
        <v>1076</v>
      </c>
      <c r="R560" t="s">
        <v>1077</v>
      </c>
      <c r="S560" t="s">
        <v>1078</v>
      </c>
      <c r="T560" t="s">
        <v>1079</v>
      </c>
      <c r="U560" t="s">
        <v>1080</v>
      </c>
      <c r="V560" t="s">
        <v>1081</v>
      </c>
      <c r="W560" t="s">
        <v>1082</v>
      </c>
      <c r="X560">
        <v>20240630</v>
      </c>
      <c r="Y560" t="s">
        <v>1083</v>
      </c>
      <c r="Z560" t="s">
        <v>1084</v>
      </c>
      <c r="AA560" s="11" t="str">
        <f t="shared" si="8"/>
        <v>EXEC [dbo].[BalanceGeneralInsertar] @Nivel ='Auxiliar',@Transaccional ='Sí',@CodigoCuentaContable ='51057201', @NombreCuentaContable ='Aportes cajas de compensación familiar',@Identificacion ='31383821',@Sucursal ='',@NombreTercero ='PATRICIA LOPEZ',@SaldoInicial = 400000,@MovimientoDebito = 80000,@MovimientoCredito =0,@SaldoFinal = 0,@Fecha ='20240630',@IdentificacionCliente = '901434038';</v>
      </c>
      <c r="AB560" t="s">
        <v>1085</v>
      </c>
    </row>
    <row r="561" spans="1:28" x14ac:dyDescent="0.25">
      <c r="A561" s="2" t="s">
        <v>22</v>
      </c>
      <c r="B561" s="2" t="s">
        <v>16</v>
      </c>
      <c r="C561" s="2" t="s">
        <v>588</v>
      </c>
      <c r="D561" s="2" t="s">
        <v>372</v>
      </c>
      <c r="E561" s="2"/>
      <c r="F561" s="2"/>
      <c r="G561" s="2"/>
      <c r="H561" s="3">
        <v>6000000</v>
      </c>
      <c r="I561" s="3">
        <v>1200000</v>
      </c>
      <c r="J561" s="3">
        <v>0</v>
      </c>
      <c r="K561" s="3">
        <v>7200000</v>
      </c>
      <c r="L561" t="s">
        <v>1071</v>
      </c>
      <c r="M561" t="s">
        <v>1072</v>
      </c>
      <c r="N561" t="s">
        <v>1073</v>
      </c>
      <c r="O561" t="s">
        <v>1074</v>
      </c>
      <c r="P561" t="s">
        <v>1075</v>
      </c>
      <c r="Q561" t="s">
        <v>1076</v>
      </c>
      <c r="R561" t="s">
        <v>1077</v>
      </c>
      <c r="S561" t="s">
        <v>1078</v>
      </c>
      <c r="T561" t="s">
        <v>1079</v>
      </c>
      <c r="U561" t="s">
        <v>1080</v>
      </c>
      <c r="V561" t="s">
        <v>1081</v>
      </c>
      <c r="W561" t="s">
        <v>1082</v>
      </c>
      <c r="X561">
        <v>20240630</v>
      </c>
      <c r="Y561" t="s">
        <v>1083</v>
      </c>
      <c r="Z561" t="s">
        <v>1084</v>
      </c>
      <c r="AA561" s="11" t="str">
        <f t="shared" si="8"/>
        <v>EXEC [dbo].[BalanceGeneralInsertar] @Nivel ='Cuenta',@Transaccional ='No',@CodigoCuentaContable ='5110', @NombreCuentaContable ='Honorarios',@Identificacion ='',@Sucursal ='',@NombreTercero ='',@SaldoInicial = 6000000,@MovimientoDebito = 1200000,@MovimientoCredito =0,@SaldoFinal = 0,@Fecha ='20240630',@IdentificacionCliente = '901434038';</v>
      </c>
      <c r="AB561" t="s">
        <v>1085</v>
      </c>
    </row>
    <row r="562" spans="1:28" x14ac:dyDescent="0.25">
      <c r="A562" s="2" t="s">
        <v>25</v>
      </c>
      <c r="B562" s="2" t="s">
        <v>16</v>
      </c>
      <c r="C562" s="2" t="s">
        <v>589</v>
      </c>
      <c r="D562" s="2" t="s">
        <v>590</v>
      </c>
      <c r="E562" s="2"/>
      <c r="F562" s="2"/>
      <c r="G562" s="2"/>
      <c r="H562" s="3">
        <v>6000000</v>
      </c>
      <c r="I562" s="3">
        <v>1200000</v>
      </c>
      <c r="J562" s="3">
        <v>0</v>
      </c>
      <c r="K562" s="3">
        <v>7200000</v>
      </c>
      <c r="L562" t="s">
        <v>1071</v>
      </c>
      <c r="M562" t="s">
        <v>1072</v>
      </c>
      <c r="N562" t="s">
        <v>1073</v>
      </c>
      <c r="O562" t="s">
        <v>1074</v>
      </c>
      <c r="P562" t="s">
        <v>1075</v>
      </c>
      <c r="Q562" t="s">
        <v>1076</v>
      </c>
      <c r="R562" t="s">
        <v>1077</v>
      </c>
      <c r="S562" t="s">
        <v>1078</v>
      </c>
      <c r="T562" t="s">
        <v>1079</v>
      </c>
      <c r="U562" t="s">
        <v>1080</v>
      </c>
      <c r="V562" t="s">
        <v>1081</v>
      </c>
      <c r="W562" t="s">
        <v>1082</v>
      </c>
      <c r="X562">
        <v>20240630</v>
      </c>
      <c r="Y562" t="s">
        <v>1083</v>
      </c>
      <c r="Z562" t="s">
        <v>1084</v>
      </c>
      <c r="AA562" s="11" t="str">
        <f t="shared" si="8"/>
        <v>EXEC [dbo].[BalanceGeneralInsertar] @Nivel ='Subcuenta',@Transaccional ='No',@CodigoCuentaContable ='511010', @NombreCuentaContable ='Revisoría fiscal',@Identificacion ='',@Sucursal ='',@NombreTercero ='',@SaldoInicial = 6000000,@MovimientoDebito = 1200000,@MovimientoCredito =0,@SaldoFinal = 0,@Fecha ='20240630',@IdentificacionCliente = '901434038';</v>
      </c>
      <c r="AB562" t="s">
        <v>1085</v>
      </c>
    </row>
    <row r="563" spans="1:28" x14ac:dyDescent="0.25">
      <c r="A563" s="2" t="s">
        <v>28</v>
      </c>
      <c r="B563" s="2" t="s">
        <v>29</v>
      </c>
      <c r="C563" s="2" t="s">
        <v>591</v>
      </c>
      <c r="D563" s="2" t="s">
        <v>592</v>
      </c>
      <c r="E563" s="2" t="s">
        <v>113</v>
      </c>
      <c r="F563" s="2"/>
      <c r="G563" s="2" t="s">
        <v>114</v>
      </c>
      <c r="H563" s="3">
        <v>6000000</v>
      </c>
      <c r="I563" s="3">
        <v>1200000</v>
      </c>
      <c r="J563" s="3">
        <v>0</v>
      </c>
      <c r="K563" s="3">
        <v>7200000</v>
      </c>
      <c r="L563" t="s">
        <v>1071</v>
      </c>
      <c r="M563" t="s">
        <v>1072</v>
      </c>
      <c r="N563" t="s">
        <v>1073</v>
      </c>
      <c r="O563" t="s">
        <v>1074</v>
      </c>
      <c r="P563" t="s">
        <v>1075</v>
      </c>
      <c r="Q563" t="s">
        <v>1076</v>
      </c>
      <c r="R563" t="s">
        <v>1077</v>
      </c>
      <c r="S563" t="s">
        <v>1078</v>
      </c>
      <c r="T563" t="s">
        <v>1079</v>
      </c>
      <c r="U563" t="s">
        <v>1080</v>
      </c>
      <c r="V563" t="s">
        <v>1081</v>
      </c>
      <c r="W563" t="s">
        <v>1082</v>
      </c>
      <c r="X563">
        <v>20240630</v>
      </c>
      <c r="Y563" t="s">
        <v>1083</v>
      </c>
      <c r="Z563" t="s">
        <v>1084</v>
      </c>
      <c r="AA563" s="11" t="str">
        <f t="shared" si="8"/>
        <v>EXEC [dbo].[BalanceGeneralInsertar] @Nivel ='Auxiliar',@Transaccional ='Sí',@CodigoCuentaContable ='51101001', @NombreCuentaContable ='Honorarios - Revisoría fiscal',@Identificacion ='901398776',@Sucursal ='',@NombreTercero ='SERVICIOS FINANCIEROS OPERATIVOS FINANCIEROS SAS',@SaldoInicial = 6000000,@MovimientoDebito = 1200000,@MovimientoCredito =0,@SaldoFinal = 0,@Fecha ='20240630',@IdentificacionCliente = '901434038';</v>
      </c>
      <c r="AB563" t="s">
        <v>1085</v>
      </c>
    </row>
    <row r="564" spans="1:28" x14ac:dyDescent="0.25">
      <c r="A564" s="2" t="s">
        <v>22</v>
      </c>
      <c r="B564" s="2" t="s">
        <v>16</v>
      </c>
      <c r="C564" s="2" t="s">
        <v>593</v>
      </c>
      <c r="D564" s="2" t="s">
        <v>594</v>
      </c>
      <c r="E564" s="2"/>
      <c r="F564" s="2"/>
      <c r="G564" s="2"/>
      <c r="H564" s="3">
        <v>6152654</v>
      </c>
      <c r="I564" s="3">
        <v>1101416</v>
      </c>
      <c r="J564" s="3">
        <v>0</v>
      </c>
      <c r="K564" s="3">
        <v>7254070</v>
      </c>
      <c r="L564" t="s">
        <v>1071</v>
      </c>
      <c r="M564" t="s">
        <v>1072</v>
      </c>
      <c r="N564" t="s">
        <v>1073</v>
      </c>
      <c r="O564" t="s">
        <v>1074</v>
      </c>
      <c r="P564" t="s">
        <v>1075</v>
      </c>
      <c r="Q564" t="s">
        <v>1076</v>
      </c>
      <c r="R564" t="s">
        <v>1077</v>
      </c>
      <c r="S564" t="s">
        <v>1078</v>
      </c>
      <c r="T564" t="s">
        <v>1079</v>
      </c>
      <c r="U564" t="s">
        <v>1080</v>
      </c>
      <c r="V564" t="s">
        <v>1081</v>
      </c>
      <c r="W564" t="s">
        <v>1082</v>
      </c>
      <c r="X564">
        <v>20240630</v>
      </c>
      <c r="Y564" t="s">
        <v>1083</v>
      </c>
      <c r="Z564" t="s">
        <v>1084</v>
      </c>
      <c r="AA564" s="11" t="str">
        <f t="shared" si="8"/>
        <v>EXEC [dbo].[BalanceGeneralInsertar] @Nivel ='Cuenta',@Transaccional ='No',@CodigoCuentaContable ='5115', @NombreCuentaContable ='Impuestos',@Identificacion ='',@Sucursal ='',@NombreTercero ='',@SaldoInicial = 6152654,@MovimientoDebito = 1101416,@MovimientoCredito =0,@SaldoFinal = 0,@Fecha ='20240630',@IdentificacionCliente = '901434038';</v>
      </c>
      <c r="AB564" t="s">
        <v>1085</v>
      </c>
    </row>
    <row r="565" spans="1:28" x14ac:dyDescent="0.25">
      <c r="A565" s="2" t="s">
        <v>25</v>
      </c>
      <c r="B565" s="2" t="s">
        <v>16</v>
      </c>
      <c r="C565" s="2" t="s">
        <v>595</v>
      </c>
      <c r="D565" s="2" t="s">
        <v>596</v>
      </c>
      <c r="E565" s="2"/>
      <c r="F565" s="2"/>
      <c r="G565" s="2"/>
      <c r="H565" s="3">
        <v>6152654</v>
      </c>
      <c r="I565" s="3">
        <v>1101416</v>
      </c>
      <c r="J565" s="3">
        <v>0</v>
      </c>
      <c r="K565" s="3">
        <v>7254070</v>
      </c>
      <c r="L565" t="s">
        <v>1071</v>
      </c>
      <c r="M565" t="s">
        <v>1072</v>
      </c>
      <c r="N565" t="s">
        <v>1073</v>
      </c>
      <c r="O565" t="s">
        <v>1074</v>
      </c>
      <c r="P565" t="s">
        <v>1075</v>
      </c>
      <c r="Q565" t="s">
        <v>1076</v>
      </c>
      <c r="R565" t="s">
        <v>1077</v>
      </c>
      <c r="S565" t="s">
        <v>1078</v>
      </c>
      <c r="T565" t="s">
        <v>1079</v>
      </c>
      <c r="U565" t="s">
        <v>1080</v>
      </c>
      <c r="V565" t="s">
        <v>1081</v>
      </c>
      <c r="W565" t="s">
        <v>1082</v>
      </c>
      <c r="X565">
        <v>20240630</v>
      </c>
      <c r="Y565" t="s">
        <v>1083</v>
      </c>
      <c r="Z565" t="s">
        <v>1084</v>
      </c>
      <c r="AA565" s="11" t="str">
        <f t="shared" si="8"/>
        <v>EXEC [dbo].[BalanceGeneralInsertar] @Nivel ='Subcuenta',@Transaccional ='No',@CodigoCuentaContable ='511515', @NombreCuentaContable ='A la propiedad raíz',@Identificacion ='',@Sucursal ='',@NombreTercero ='',@SaldoInicial = 6152654,@MovimientoDebito = 1101416,@MovimientoCredito =0,@SaldoFinal = 0,@Fecha ='20240630',@IdentificacionCliente = '901434038';</v>
      </c>
      <c r="AB565" t="s">
        <v>1085</v>
      </c>
    </row>
    <row r="566" spans="1:28" x14ac:dyDescent="0.25">
      <c r="A566" s="2" t="s">
        <v>28</v>
      </c>
      <c r="B566" s="2" t="s">
        <v>29</v>
      </c>
      <c r="C566" s="2" t="s">
        <v>597</v>
      </c>
      <c r="D566" s="2" t="s">
        <v>596</v>
      </c>
      <c r="E566" s="2" t="s">
        <v>33</v>
      </c>
      <c r="F566" s="2"/>
      <c r="G566" s="2" t="s">
        <v>34</v>
      </c>
      <c r="H566" s="3">
        <v>6152654</v>
      </c>
      <c r="I566" s="3">
        <v>1101416</v>
      </c>
      <c r="J566" s="3">
        <v>0</v>
      </c>
      <c r="K566" s="3">
        <v>7254070</v>
      </c>
      <c r="L566" t="s">
        <v>1071</v>
      </c>
      <c r="M566" t="s">
        <v>1072</v>
      </c>
      <c r="N566" t="s">
        <v>1073</v>
      </c>
      <c r="O566" t="s">
        <v>1074</v>
      </c>
      <c r="P566" t="s">
        <v>1075</v>
      </c>
      <c r="Q566" t="s">
        <v>1076</v>
      </c>
      <c r="R566" t="s">
        <v>1077</v>
      </c>
      <c r="S566" t="s">
        <v>1078</v>
      </c>
      <c r="T566" t="s">
        <v>1079</v>
      </c>
      <c r="U566" t="s">
        <v>1080</v>
      </c>
      <c r="V566" t="s">
        <v>1081</v>
      </c>
      <c r="W566" t="s">
        <v>1082</v>
      </c>
      <c r="X566">
        <v>20240630</v>
      </c>
      <c r="Y566" t="s">
        <v>1083</v>
      </c>
      <c r="Z566" t="s">
        <v>1084</v>
      </c>
      <c r="AA566" s="11" t="str">
        <f t="shared" si="8"/>
        <v>EXEC [dbo].[BalanceGeneralInsertar] @Nivel ='Auxiliar',@Transaccional ='Sí',@CodigoCuentaContable ='51151501', @NombreCuentaContable ='A la propiedad raíz',@Identificacion ='899999061',@Sucursal ='',@NombreTercero ='Secretaría Distrital de Hacienda',@SaldoInicial = 6152654,@MovimientoDebito = 1101416,@MovimientoCredito =0,@SaldoFinal = 0,@Fecha ='20240630',@IdentificacionCliente = '901434038';</v>
      </c>
      <c r="AB566" t="s">
        <v>1085</v>
      </c>
    </row>
    <row r="567" spans="1:28" x14ac:dyDescent="0.25">
      <c r="A567" s="2" t="s">
        <v>22</v>
      </c>
      <c r="B567" s="2" t="s">
        <v>16</v>
      </c>
      <c r="C567" s="2" t="s">
        <v>598</v>
      </c>
      <c r="D567" s="2" t="s">
        <v>599</v>
      </c>
      <c r="E567" s="2"/>
      <c r="F567" s="2"/>
      <c r="G567" s="2"/>
      <c r="H567" s="3">
        <v>1256720</v>
      </c>
      <c r="I567" s="3">
        <v>0</v>
      </c>
      <c r="J567" s="3">
        <v>0</v>
      </c>
      <c r="K567" s="3">
        <v>1256720</v>
      </c>
      <c r="L567" t="s">
        <v>1071</v>
      </c>
      <c r="M567" t="s">
        <v>1072</v>
      </c>
      <c r="N567" t="s">
        <v>1073</v>
      </c>
      <c r="O567" t="s">
        <v>1074</v>
      </c>
      <c r="P567" t="s">
        <v>1075</v>
      </c>
      <c r="Q567" t="s">
        <v>1076</v>
      </c>
      <c r="R567" t="s">
        <v>1077</v>
      </c>
      <c r="S567" t="s">
        <v>1078</v>
      </c>
      <c r="T567" t="s">
        <v>1079</v>
      </c>
      <c r="U567" t="s">
        <v>1080</v>
      </c>
      <c r="V567" t="s">
        <v>1081</v>
      </c>
      <c r="W567" t="s">
        <v>1082</v>
      </c>
      <c r="X567">
        <v>20240630</v>
      </c>
      <c r="Y567" t="s">
        <v>1083</v>
      </c>
      <c r="Z567" t="s">
        <v>1084</v>
      </c>
      <c r="AA567" s="11" t="str">
        <f t="shared" si="8"/>
        <v>EXEC [dbo].[BalanceGeneralInsertar] @Nivel ='Cuenta',@Transaccional ='No',@CodigoCuentaContable ='5120', @NombreCuentaContable ='Arrendamientos',@Identificacion ='',@Sucursal ='',@NombreTercero ='',@SaldoInicial = 1256720,@MovimientoDebito = 0,@MovimientoCredito =0,@SaldoFinal = 0,@Fecha ='20240630',@IdentificacionCliente = '901434038';</v>
      </c>
      <c r="AB567" t="s">
        <v>1085</v>
      </c>
    </row>
    <row r="568" spans="1:28" x14ac:dyDescent="0.25">
      <c r="A568" s="2" t="s">
        <v>25</v>
      </c>
      <c r="B568" s="2" t="s">
        <v>16</v>
      </c>
      <c r="C568" s="2" t="s">
        <v>600</v>
      </c>
      <c r="D568" s="2" t="s">
        <v>601</v>
      </c>
      <c r="E568" s="2"/>
      <c r="F568" s="2"/>
      <c r="G568" s="2"/>
      <c r="H568" s="3">
        <v>1256720</v>
      </c>
      <c r="I568" s="3">
        <v>0</v>
      </c>
      <c r="J568" s="3">
        <v>0</v>
      </c>
      <c r="K568" s="3">
        <v>1256720</v>
      </c>
      <c r="L568" t="s">
        <v>1071</v>
      </c>
      <c r="M568" t="s">
        <v>1072</v>
      </c>
      <c r="N568" t="s">
        <v>1073</v>
      </c>
      <c r="O568" t="s">
        <v>1074</v>
      </c>
      <c r="P568" t="s">
        <v>1075</v>
      </c>
      <c r="Q568" t="s">
        <v>1076</v>
      </c>
      <c r="R568" t="s">
        <v>1077</v>
      </c>
      <c r="S568" t="s">
        <v>1078</v>
      </c>
      <c r="T568" t="s">
        <v>1079</v>
      </c>
      <c r="U568" t="s">
        <v>1080</v>
      </c>
      <c r="V568" t="s">
        <v>1081</v>
      </c>
      <c r="W568" t="s">
        <v>1082</v>
      </c>
      <c r="X568">
        <v>20240630</v>
      </c>
      <c r="Y568" t="s">
        <v>1083</v>
      </c>
      <c r="Z568" t="s">
        <v>1084</v>
      </c>
      <c r="AA568" s="11" t="str">
        <f t="shared" si="8"/>
        <v>EXEC [dbo].[BalanceGeneralInsertar] @Nivel ='Subcuenta',@Transaccional ='No',@CodigoCuentaContable ='512010', @NombreCuentaContable ='Construcciones y edificaciones',@Identificacion ='',@Sucursal ='',@NombreTercero ='',@SaldoInicial = 1256720,@MovimientoDebito = 0,@MovimientoCredito =0,@SaldoFinal = 0,@Fecha ='20240630',@IdentificacionCliente = '901434038';</v>
      </c>
      <c r="AB568" t="s">
        <v>1085</v>
      </c>
    </row>
    <row r="569" spans="1:28" x14ac:dyDescent="0.25">
      <c r="A569" s="2" t="s">
        <v>28</v>
      </c>
      <c r="B569" s="2" t="s">
        <v>29</v>
      </c>
      <c r="C569" s="2" t="s">
        <v>602</v>
      </c>
      <c r="D569" s="2" t="s">
        <v>603</v>
      </c>
      <c r="E569" s="2" t="s">
        <v>63</v>
      </c>
      <c r="F569" s="2"/>
      <c r="G569" s="2" t="s">
        <v>64</v>
      </c>
      <c r="H569" s="3">
        <v>1256720</v>
      </c>
      <c r="I569" s="3">
        <v>0</v>
      </c>
      <c r="J569" s="3">
        <v>0</v>
      </c>
      <c r="K569" s="3">
        <v>1256720</v>
      </c>
      <c r="L569" t="s">
        <v>1071</v>
      </c>
      <c r="M569" t="s">
        <v>1072</v>
      </c>
      <c r="N569" t="s">
        <v>1073</v>
      </c>
      <c r="O569" t="s">
        <v>1074</v>
      </c>
      <c r="P569" t="s">
        <v>1075</v>
      </c>
      <c r="Q569" t="s">
        <v>1076</v>
      </c>
      <c r="R569" t="s">
        <v>1077</v>
      </c>
      <c r="S569" t="s">
        <v>1078</v>
      </c>
      <c r="T569" t="s">
        <v>1079</v>
      </c>
      <c r="U569" t="s">
        <v>1080</v>
      </c>
      <c r="V569" t="s">
        <v>1081</v>
      </c>
      <c r="W569" t="s">
        <v>1082</v>
      </c>
      <c r="X569">
        <v>20240630</v>
      </c>
      <c r="Y569" t="s">
        <v>1083</v>
      </c>
      <c r="Z569" t="s">
        <v>1084</v>
      </c>
      <c r="AA569" s="11" t="str">
        <f t="shared" si="8"/>
        <v>EXEC [dbo].[BalanceGeneralInsertar] @Nivel ='Auxiliar',@Transaccional ='Sí',@CodigoCuentaContable ='51201001', @NombreCuentaContable ='Arrendamientos - Construcciones y edificaciones',@Identificacion ='901037101',@Sucursal ='',@NombreTercero ='CO-WORK LATAM COLOMBIA S.A.S',@SaldoInicial = 1256720,@MovimientoDebito = 0,@MovimientoCredito =0,@SaldoFinal = 0,@Fecha ='20240630',@IdentificacionCliente = '901434038';</v>
      </c>
      <c r="AB569" t="s">
        <v>1085</v>
      </c>
    </row>
    <row r="570" spans="1:28" x14ac:dyDescent="0.25">
      <c r="A570" s="2" t="s">
        <v>22</v>
      </c>
      <c r="B570" s="2" t="s">
        <v>16</v>
      </c>
      <c r="C570" s="2" t="s">
        <v>604</v>
      </c>
      <c r="D570" s="2" t="s">
        <v>382</v>
      </c>
      <c r="E570" s="2"/>
      <c r="F570" s="2"/>
      <c r="G570" s="2"/>
      <c r="H570" s="3">
        <v>872705</v>
      </c>
      <c r="I570" s="3">
        <v>0</v>
      </c>
      <c r="J570" s="3">
        <v>3641</v>
      </c>
      <c r="K570" s="3">
        <v>869064</v>
      </c>
      <c r="L570" t="s">
        <v>1071</v>
      </c>
      <c r="M570" t="s">
        <v>1072</v>
      </c>
      <c r="N570" t="s">
        <v>1073</v>
      </c>
      <c r="O570" t="s">
        <v>1074</v>
      </c>
      <c r="P570" t="s">
        <v>1075</v>
      </c>
      <c r="Q570" t="s">
        <v>1076</v>
      </c>
      <c r="R570" t="s">
        <v>1077</v>
      </c>
      <c r="S570" t="s">
        <v>1078</v>
      </c>
      <c r="T570" t="s">
        <v>1079</v>
      </c>
      <c r="U570" t="s">
        <v>1080</v>
      </c>
      <c r="V570" t="s">
        <v>1081</v>
      </c>
      <c r="W570" t="s">
        <v>1082</v>
      </c>
      <c r="X570">
        <v>20240630</v>
      </c>
      <c r="Y570" t="s">
        <v>1083</v>
      </c>
      <c r="Z570" t="s">
        <v>1084</v>
      </c>
      <c r="AA570" s="11" t="str">
        <f t="shared" si="8"/>
        <v>EXEC [dbo].[BalanceGeneralInsertar] @Nivel ='Cuenta',@Transaccional ='No',@CodigoCuentaContable ='5135', @NombreCuentaContable ='Servicios',@Identificacion ='',@Sucursal ='',@NombreTercero ='',@SaldoInicial = 872705,@MovimientoDebito = 0,@MovimientoCredito =3641,@SaldoFinal = 3641,@Fecha ='20240630',@IdentificacionCliente = '901434038';</v>
      </c>
      <c r="AB570" t="s">
        <v>1085</v>
      </c>
    </row>
    <row r="571" spans="1:28" x14ac:dyDescent="0.25">
      <c r="A571" s="2" t="s">
        <v>25</v>
      </c>
      <c r="B571" s="2" t="s">
        <v>16</v>
      </c>
      <c r="C571" s="2" t="s">
        <v>605</v>
      </c>
      <c r="D571" s="2" t="s">
        <v>606</v>
      </c>
      <c r="E571" s="2"/>
      <c r="F571" s="2"/>
      <c r="G571" s="2"/>
      <c r="H571" s="3">
        <v>275705</v>
      </c>
      <c r="I571" s="3">
        <v>0</v>
      </c>
      <c r="J571" s="3">
        <v>3641</v>
      </c>
      <c r="K571" s="3">
        <v>272064</v>
      </c>
      <c r="L571" t="s">
        <v>1071</v>
      </c>
      <c r="M571" t="s">
        <v>1072</v>
      </c>
      <c r="N571" t="s">
        <v>1073</v>
      </c>
      <c r="O571" t="s">
        <v>1074</v>
      </c>
      <c r="P571" t="s">
        <v>1075</v>
      </c>
      <c r="Q571" t="s">
        <v>1076</v>
      </c>
      <c r="R571" t="s">
        <v>1077</v>
      </c>
      <c r="S571" t="s">
        <v>1078</v>
      </c>
      <c r="T571" t="s">
        <v>1079</v>
      </c>
      <c r="U571" t="s">
        <v>1080</v>
      </c>
      <c r="V571" t="s">
        <v>1081</v>
      </c>
      <c r="W571" t="s">
        <v>1082</v>
      </c>
      <c r="X571">
        <v>20240630</v>
      </c>
      <c r="Y571" t="s">
        <v>1083</v>
      </c>
      <c r="Z571" t="s">
        <v>1084</v>
      </c>
      <c r="AA571" s="11" t="str">
        <f t="shared" si="8"/>
        <v>EXEC [dbo].[BalanceGeneralInsertar] @Nivel ='Subcuenta',@Transaccional ='No',@CodigoCuentaContable ='513520', @NombreCuentaContable ='Procesamiento electrónico de datos',@Identificacion ='',@Sucursal ='',@NombreTercero ='',@SaldoInicial = 275705,@MovimientoDebito = 0,@MovimientoCredito =3641,@SaldoFinal = 3641,@Fecha ='20240630',@IdentificacionCliente = '901434038';</v>
      </c>
      <c r="AB571" t="s">
        <v>1085</v>
      </c>
    </row>
    <row r="572" spans="1:28" x14ac:dyDescent="0.25">
      <c r="A572" s="2" t="s">
        <v>28</v>
      </c>
      <c r="B572" s="2" t="s">
        <v>29</v>
      </c>
      <c r="C572" s="2" t="s">
        <v>607</v>
      </c>
      <c r="D572" s="2" t="s">
        <v>608</v>
      </c>
      <c r="E572" s="2" t="s">
        <v>117</v>
      </c>
      <c r="F572" s="2"/>
      <c r="G572" s="2" t="s">
        <v>118</v>
      </c>
      <c r="H572" s="3">
        <v>275705</v>
      </c>
      <c r="I572" s="3">
        <v>0</v>
      </c>
      <c r="J572" s="3">
        <v>3641</v>
      </c>
      <c r="K572" s="3">
        <v>272064</v>
      </c>
      <c r="L572" t="s">
        <v>1071</v>
      </c>
      <c r="M572" t="s">
        <v>1072</v>
      </c>
      <c r="N572" t="s">
        <v>1073</v>
      </c>
      <c r="O572" t="s">
        <v>1074</v>
      </c>
      <c r="P572" t="s">
        <v>1075</v>
      </c>
      <c r="Q572" t="s">
        <v>1076</v>
      </c>
      <c r="R572" t="s">
        <v>1077</v>
      </c>
      <c r="S572" t="s">
        <v>1078</v>
      </c>
      <c r="T572" t="s">
        <v>1079</v>
      </c>
      <c r="U572" t="s">
        <v>1080</v>
      </c>
      <c r="V572" t="s">
        <v>1081</v>
      </c>
      <c r="W572" t="s">
        <v>1082</v>
      </c>
      <c r="X572">
        <v>20240630</v>
      </c>
      <c r="Y572" t="s">
        <v>1083</v>
      </c>
      <c r="Z572" t="s">
        <v>1084</v>
      </c>
      <c r="AA572" s="11" t="str">
        <f t="shared" si="8"/>
        <v>EXEC [dbo].[BalanceGeneralInsertar] @Nivel ='Auxiliar',@Transaccional ='Sí',@CodigoCuentaContable ='51352001', @NombreCuentaContable ='Servicios - Procesamiento electrónico de datos',@Identificacion ='830048145',@Sucursal ='',@NombreTercero ='SIIGO S.A.S',@SaldoInicial = 275705,@MovimientoDebito = 0,@MovimientoCredito =3641,@SaldoFinal = 3641,@Fecha ='20240630',@IdentificacionCliente = '901434038';</v>
      </c>
      <c r="AB572" t="s">
        <v>1085</v>
      </c>
    </row>
    <row r="573" spans="1:28" x14ac:dyDescent="0.25">
      <c r="A573" s="2" t="s">
        <v>25</v>
      </c>
      <c r="B573" s="2" t="s">
        <v>16</v>
      </c>
      <c r="C573" s="2" t="s">
        <v>609</v>
      </c>
      <c r="D573" s="2" t="s">
        <v>610</v>
      </c>
      <c r="E573" s="2"/>
      <c r="F573" s="2"/>
      <c r="G573" s="2"/>
      <c r="H573" s="3">
        <v>597000</v>
      </c>
      <c r="I573" s="3">
        <v>0</v>
      </c>
      <c r="J573" s="3">
        <v>0</v>
      </c>
      <c r="K573" s="3">
        <v>597000</v>
      </c>
      <c r="L573" t="s">
        <v>1071</v>
      </c>
      <c r="M573" t="s">
        <v>1072</v>
      </c>
      <c r="N573" t="s">
        <v>1073</v>
      </c>
      <c r="O573" t="s">
        <v>1074</v>
      </c>
      <c r="P573" t="s">
        <v>1075</v>
      </c>
      <c r="Q573" t="s">
        <v>1076</v>
      </c>
      <c r="R573" t="s">
        <v>1077</v>
      </c>
      <c r="S573" t="s">
        <v>1078</v>
      </c>
      <c r="T573" t="s">
        <v>1079</v>
      </c>
      <c r="U573" t="s">
        <v>1080</v>
      </c>
      <c r="V573" t="s">
        <v>1081</v>
      </c>
      <c r="W573" t="s">
        <v>1082</v>
      </c>
      <c r="X573">
        <v>20240630</v>
      </c>
      <c r="Y573" t="s">
        <v>1083</v>
      </c>
      <c r="Z573" t="s">
        <v>1084</v>
      </c>
      <c r="AA573" s="11" t="str">
        <f t="shared" si="8"/>
        <v>EXEC [dbo].[BalanceGeneralInsertar] @Nivel ='Subcuenta',@Transaccional ='No',@CodigoCuentaContable ='513560', @NombreCuentaContable ='Pagina Web',@Identificacion ='',@Sucursal ='',@NombreTercero ='',@SaldoInicial = 597000,@MovimientoDebito = 0,@MovimientoCredito =0,@SaldoFinal = 0,@Fecha ='20240630',@IdentificacionCliente = '901434038';</v>
      </c>
      <c r="AB573" t="s">
        <v>1085</v>
      </c>
    </row>
    <row r="574" spans="1:28" x14ac:dyDescent="0.25">
      <c r="A574" s="2" t="s">
        <v>28</v>
      </c>
      <c r="B574" s="2" t="s">
        <v>29</v>
      </c>
      <c r="C574" s="2" t="s">
        <v>611</v>
      </c>
      <c r="D574" s="2" t="s">
        <v>610</v>
      </c>
      <c r="E574" s="2" t="s">
        <v>65</v>
      </c>
      <c r="F574" s="2"/>
      <c r="G574" s="2" t="s">
        <v>66</v>
      </c>
      <c r="H574" s="3">
        <v>597000</v>
      </c>
      <c r="I574" s="3">
        <v>0</v>
      </c>
      <c r="J574" s="3">
        <v>0</v>
      </c>
      <c r="K574" s="3">
        <v>597000</v>
      </c>
      <c r="L574" t="s">
        <v>1071</v>
      </c>
      <c r="M574" t="s">
        <v>1072</v>
      </c>
      <c r="N574" t="s">
        <v>1073</v>
      </c>
      <c r="O574" t="s">
        <v>1074</v>
      </c>
      <c r="P574" t="s">
        <v>1075</v>
      </c>
      <c r="Q574" t="s">
        <v>1076</v>
      </c>
      <c r="R574" t="s">
        <v>1077</v>
      </c>
      <c r="S574" t="s">
        <v>1078</v>
      </c>
      <c r="T574" t="s">
        <v>1079</v>
      </c>
      <c r="U574" t="s">
        <v>1080</v>
      </c>
      <c r="V574" t="s">
        <v>1081</v>
      </c>
      <c r="W574" t="s">
        <v>1082</v>
      </c>
      <c r="X574">
        <v>20240630</v>
      </c>
      <c r="Y574" t="s">
        <v>1083</v>
      </c>
      <c r="Z574" t="s">
        <v>1084</v>
      </c>
      <c r="AA574" s="11" t="str">
        <f t="shared" si="8"/>
        <v>EXEC [dbo].[BalanceGeneralInsertar] @Nivel ='Auxiliar',@Transaccional ='Sí',@CodigoCuentaContable ='51356001', @NombreCuentaContable ='Pagina Web',@Identificacion ='900889468',@Sucursal ='',@NombreTercero ='PALMA DE WEB SAS',@SaldoInicial = 597000,@MovimientoDebito = 0,@MovimientoCredito =0,@SaldoFinal = 0,@Fecha ='20240630',@IdentificacionCliente = '901434038';</v>
      </c>
      <c r="AB574" t="s">
        <v>1085</v>
      </c>
    </row>
    <row r="575" spans="1:28" x14ac:dyDescent="0.25">
      <c r="A575" s="2" t="s">
        <v>22</v>
      </c>
      <c r="B575" s="2" t="s">
        <v>16</v>
      </c>
      <c r="C575" s="2" t="s">
        <v>612</v>
      </c>
      <c r="D575" s="2" t="s">
        <v>613</v>
      </c>
      <c r="E575" s="2"/>
      <c r="F575" s="2"/>
      <c r="G575" s="2"/>
      <c r="H575" s="3">
        <v>2118100</v>
      </c>
      <c r="I575" s="3">
        <v>0</v>
      </c>
      <c r="J575" s="3">
        <v>0</v>
      </c>
      <c r="K575" s="3">
        <v>2118100</v>
      </c>
      <c r="L575" t="s">
        <v>1071</v>
      </c>
      <c r="M575" t="s">
        <v>1072</v>
      </c>
      <c r="N575" t="s">
        <v>1073</v>
      </c>
      <c r="O575" t="s">
        <v>1074</v>
      </c>
      <c r="P575" t="s">
        <v>1075</v>
      </c>
      <c r="Q575" t="s">
        <v>1076</v>
      </c>
      <c r="R575" t="s">
        <v>1077</v>
      </c>
      <c r="S575" t="s">
        <v>1078</v>
      </c>
      <c r="T575" t="s">
        <v>1079</v>
      </c>
      <c r="U575" t="s">
        <v>1080</v>
      </c>
      <c r="V575" t="s">
        <v>1081</v>
      </c>
      <c r="W575" t="s">
        <v>1082</v>
      </c>
      <c r="X575">
        <v>20240630</v>
      </c>
      <c r="Y575" t="s">
        <v>1083</v>
      </c>
      <c r="Z575" t="s">
        <v>1084</v>
      </c>
      <c r="AA575" s="11" t="str">
        <f t="shared" si="8"/>
        <v>EXEC [dbo].[BalanceGeneralInsertar] @Nivel ='Cuenta',@Transaccional ='No',@CodigoCuentaContable ='5140', @NombreCuentaContable ='Gastos legales',@Identificacion ='',@Sucursal ='',@NombreTercero ='',@SaldoInicial = 2118100,@MovimientoDebito = 0,@MovimientoCredito =0,@SaldoFinal = 0,@Fecha ='20240630',@IdentificacionCliente = '901434038';</v>
      </c>
      <c r="AB575" t="s">
        <v>1085</v>
      </c>
    </row>
    <row r="576" spans="1:28" x14ac:dyDescent="0.25">
      <c r="A576" s="2" t="s">
        <v>25</v>
      </c>
      <c r="B576" s="2" t="s">
        <v>16</v>
      </c>
      <c r="C576" s="2" t="s">
        <v>614</v>
      </c>
      <c r="D576" s="2" t="s">
        <v>615</v>
      </c>
      <c r="E576" s="2"/>
      <c r="F576" s="2"/>
      <c r="G576" s="2"/>
      <c r="H576" s="3">
        <v>2118100</v>
      </c>
      <c r="I576" s="3">
        <v>0</v>
      </c>
      <c r="J576" s="3">
        <v>0</v>
      </c>
      <c r="K576" s="3">
        <v>2118100</v>
      </c>
      <c r="L576" t="s">
        <v>1071</v>
      </c>
      <c r="M576" t="s">
        <v>1072</v>
      </c>
      <c r="N576" t="s">
        <v>1073</v>
      </c>
      <c r="O576" t="s">
        <v>1074</v>
      </c>
      <c r="P576" t="s">
        <v>1075</v>
      </c>
      <c r="Q576" t="s">
        <v>1076</v>
      </c>
      <c r="R576" t="s">
        <v>1077</v>
      </c>
      <c r="S576" t="s">
        <v>1078</v>
      </c>
      <c r="T576" t="s">
        <v>1079</v>
      </c>
      <c r="U576" t="s">
        <v>1080</v>
      </c>
      <c r="V576" t="s">
        <v>1081</v>
      </c>
      <c r="W576" t="s">
        <v>1082</v>
      </c>
      <c r="X576">
        <v>20240630</v>
      </c>
      <c r="Y576" t="s">
        <v>1083</v>
      </c>
      <c r="Z576" t="s">
        <v>1084</v>
      </c>
      <c r="AA576" s="11" t="str">
        <f t="shared" si="8"/>
        <v>EXEC [dbo].[BalanceGeneralInsertar] @Nivel ='Subcuenta',@Transaccional ='No',@CodigoCuentaContable ='514010', @NombreCuentaContable ='Registro mercantil',@Identificacion ='',@Sucursal ='',@NombreTercero ='',@SaldoInicial = 2118100,@MovimientoDebito = 0,@MovimientoCredito =0,@SaldoFinal = 0,@Fecha ='20240630',@IdentificacionCliente = '901434038';</v>
      </c>
      <c r="AB576" t="s">
        <v>1085</v>
      </c>
    </row>
    <row r="577" spans="1:28" x14ac:dyDescent="0.25">
      <c r="A577" s="2" t="s">
        <v>28</v>
      </c>
      <c r="B577" s="2" t="s">
        <v>29</v>
      </c>
      <c r="C577" s="2" t="s">
        <v>616</v>
      </c>
      <c r="D577" s="2" t="s">
        <v>615</v>
      </c>
      <c r="E577" s="2" t="s">
        <v>31</v>
      </c>
      <c r="F577" s="2"/>
      <c r="G577" s="2" t="s">
        <v>32</v>
      </c>
      <c r="H577" s="3">
        <v>2118100</v>
      </c>
      <c r="I577" s="3">
        <v>0</v>
      </c>
      <c r="J577" s="3">
        <v>0</v>
      </c>
      <c r="K577" s="3">
        <v>2118100</v>
      </c>
      <c r="L577" t="s">
        <v>1071</v>
      </c>
      <c r="M577" t="s">
        <v>1072</v>
      </c>
      <c r="N577" t="s">
        <v>1073</v>
      </c>
      <c r="O577" t="s">
        <v>1074</v>
      </c>
      <c r="P577" t="s">
        <v>1075</v>
      </c>
      <c r="Q577" t="s">
        <v>1076</v>
      </c>
      <c r="R577" t="s">
        <v>1077</v>
      </c>
      <c r="S577" t="s">
        <v>1078</v>
      </c>
      <c r="T577" t="s">
        <v>1079</v>
      </c>
      <c r="U577" t="s">
        <v>1080</v>
      </c>
      <c r="V577" t="s">
        <v>1081</v>
      </c>
      <c r="W577" t="s">
        <v>1082</v>
      </c>
      <c r="X577">
        <v>20240630</v>
      </c>
      <c r="Y577" t="s">
        <v>1083</v>
      </c>
      <c r="Z577" t="s">
        <v>1084</v>
      </c>
      <c r="AA577" s="11" t="str">
        <f t="shared" si="8"/>
        <v>EXEC [dbo].[BalanceGeneralInsertar] @Nivel ='Auxiliar',@Transaccional ='Sí',@CodigoCuentaContable ='51401001', @NombreCuentaContable ='Registro mercantil',@Identificacion ='860007322',@Sucursal ='',@NombreTercero ='Camara de comercio de bogota',@SaldoInicial = 2118100,@MovimientoDebito = 0,@MovimientoCredito =0,@SaldoFinal = 0,@Fecha ='20240630',@IdentificacionCliente = '901434038';</v>
      </c>
      <c r="AB577" t="s">
        <v>1085</v>
      </c>
    </row>
    <row r="578" spans="1:28" x14ac:dyDescent="0.25">
      <c r="A578" s="2" t="s">
        <v>22</v>
      </c>
      <c r="B578" s="2" t="s">
        <v>16</v>
      </c>
      <c r="C578" s="2" t="s">
        <v>617</v>
      </c>
      <c r="D578" s="2" t="s">
        <v>552</v>
      </c>
      <c r="E578" s="2"/>
      <c r="F578" s="2"/>
      <c r="G578" s="2"/>
      <c r="H578" s="3">
        <v>10522661</v>
      </c>
      <c r="I578" s="3">
        <v>2636368</v>
      </c>
      <c r="J578" s="3">
        <v>0</v>
      </c>
      <c r="K578" s="3">
        <v>13159029</v>
      </c>
      <c r="L578" t="s">
        <v>1071</v>
      </c>
      <c r="M578" t="s">
        <v>1072</v>
      </c>
      <c r="N578" t="s">
        <v>1073</v>
      </c>
      <c r="O578" t="s">
        <v>1074</v>
      </c>
      <c r="P578" t="s">
        <v>1075</v>
      </c>
      <c r="Q578" t="s">
        <v>1076</v>
      </c>
      <c r="R578" t="s">
        <v>1077</v>
      </c>
      <c r="S578" t="s">
        <v>1078</v>
      </c>
      <c r="T578" t="s">
        <v>1079</v>
      </c>
      <c r="U578" t="s">
        <v>1080</v>
      </c>
      <c r="V578" t="s">
        <v>1081</v>
      </c>
      <c r="W578" t="s">
        <v>1082</v>
      </c>
      <c r="X578">
        <v>20240630</v>
      </c>
      <c r="Y578" t="s">
        <v>1083</v>
      </c>
      <c r="Z578" t="s">
        <v>1084</v>
      </c>
      <c r="AA578" s="11" t="str">
        <f t="shared" si="8"/>
        <v>EXEC [dbo].[BalanceGeneralInsertar] @Nivel ='Cuenta',@Transaccional ='No',@CodigoCuentaContable ='5195', @NombreCuentaContable ='Diversos',@Identificacion ='',@Sucursal ='',@NombreTercero ='',@SaldoInicial = 10522661,@MovimientoDebito = 2636368,@MovimientoCredito =0,@SaldoFinal = 0,@Fecha ='20240630',@IdentificacionCliente = '901434038';</v>
      </c>
      <c r="AB578" t="s">
        <v>1085</v>
      </c>
    </row>
    <row r="579" spans="1:28" x14ac:dyDescent="0.25">
      <c r="A579" s="2" t="s">
        <v>25</v>
      </c>
      <c r="B579" s="2" t="s">
        <v>16</v>
      </c>
      <c r="C579" s="2" t="s">
        <v>618</v>
      </c>
      <c r="D579" s="2" t="s">
        <v>379</v>
      </c>
      <c r="E579" s="2"/>
      <c r="F579" s="2"/>
      <c r="G579" s="2"/>
      <c r="H579" s="3">
        <v>9977250</v>
      </c>
      <c r="I579" s="3">
        <v>2216200</v>
      </c>
      <c r="J579" s="3">
        <v>0</v>
      </c>
      <c r="K579" s="3">
        <v>12193450</v>
      </c>
      <c r="L579" t="s">
        <v>1071</v>
      </c>
      <c r="M579" t="s">
        <v>1072</v>
      </c>
      <c r="N579" t="s">
        <v>1073</v>
      </c>
      <c r="O579" t="s">
        <v>1074</v>
      </c>
      <c r="P579" t="s">
        <v>1075</v>
      </c>
      <c r="Q579" t="s">
        <v>1076</v>
      </c>
      <c r="R579" t="s">
        <v>1077</v>
      </c>
      <c r="S579" t="s">
        <v>1078</v>
      </c>
      <c r="T579" t="s">
        <v>1079</v>
      </c>
      <c r="U579" t="s">
        <v>1080</v>
      </c>
      <c r="V579" t="s">
        <v>1081</v>
      </c>
      <c r="W579" t="s">
        <v>1082</v>
      </c>
      <c r="X579">
        <v>20240630</v>
      </c>
      <c r="Y579" t="s">
        <v>1083</v>
      </c>
      <c r="Z579" t="s">
        <v>1084</v>
      </c>
      <c r="AA579" s="11" t="str">
        <f t="shared" si="8"/>
        <v>EXEC [dbo].[BalanceGeneralInsertar] @Nivel ='Subcuenta',@Transaccional ='No',@CodigoCuentaContable ='519505', @NombreCuentaContable ='Comisiones',@Identificacion ='',@Sucursal ='',@NombreTercero ='',@SaldoInicial = 9977250,@MovimientoDebito = 2216200,@MovimientoCredito =0,@SaldoFinal = 0,@Fecha ='20240630',@IdentificacionCliente = '901434038';</v>
      </c>
      <c r="AB579" t="s">
        <v>1085</v>
      </c>
    </row>
    <row r="580" spans="1:28" x14ac:dyDescent="0.25">
      <c r="A580" s="2" t="s">
        <v>28</v>
      </c>
      <c r="B580" s="2" t="s">
        <v>29</v>
      </c>
      <c r="C580" s="2" t="s">
        <v>619</v>
      </c>
      <c r="D580" s="2" t="s">
        <v>620</v>
      </c>
      <c r="E580" s="2" t="s">
        <v>87</v>
      </c>
      <c r="F580" s="2"/>
      <c r="G580" s="2" t="s">
        <v>88</v>
      </c>
      <c r="H580" s="3">
        <v>8840000</v>
      </c>
      <c r="I580" s="3">
        <v>2210000</v>
      </c>
      <c r="J580" s="3">
        <v>0</v>
      </c>
      <c r="K580" s="3">
        <v>11050000</v>
      </c>
      <c r="L580" t="s">
        <v>1071</v>
      </c>
      <c r="M580" t="s">
        <v>1072</v>
      </c>
      <c r="N580" t="s">
        <v>1073</v>
      </c>
      <c r="O580" t="s">
        <v>1074</v>
      </c>
      <c r="P580" t="s">
        <v>1075</v>
      </c>
      <c r="Q580" t="s">
        <v>1076</v>
      </c>
      <c r="R580" t="s">
        <v>1077</v>
      </c>
      <c r="S580" t="s">
        <v>1078</v>
      </c>
      <c r="T580" t="s">
        <v>1079</v>
      </c>
      <c r="U580" t="s">
        <v>1080</v>
      </c>
      <c r="V580" t="s">
        <v>1081</v>
      </c>
      <c r="W580" t="s">
        <v>1082</v>
      </c>
      <c r="X580">
        <v>20240630</v>
      </c>
      <c r="Y580" t="s">
        <v>1083</v>
      </c>
      <c r="Z580" t="s">
        <v>1084</v>
      </c>
      <c r="AA580" s="11" t="str">
        <f t="shared" si="8"/>
        <v>EXEC [dbo].[BalanceGeneralInsertar] @Nivel ='Auxiliar',@Transaccional ='Sí',@CodigoCuentaContable ='51950501', @NombreCuentaContable ='Comisiones ',@Identificacion ='830054539',@Sucursal ='',@NombreTercero ='FIDUCIARIA BANCOLOMBIA S.A',@SaldoInicial = 8840000,@MovimientoDebito = 2210000,@MovimientoCredito =0,@SaldoFinal = 0,@Fecha ='20240630',@IdentificacionCliente = '901434038';</v>
      </c>
      <c r="AB580" t="s">
        <v>1085</v>
      </c>
    </row>
    <row r="581" spans="1:28" x14ac:dyDescent="0.25">
      <c r="A581" s="2" t="s">
        <v>28</v>
      </c>
      <c r="B581" s="2" t="s">
        <v>29</v>
      </c>
      <c r="C581" s="2" t="s">
        <v>619</v>
      </c>
      <c r="D581" s="2" t="s">
        <v>620</v>
      </c>
      <c r="E581" s="2" t="s">
        <v>364</v>
      </c>
      <c r="F581" s="2"/>
      <c r="G581" s="2" t="s">
        <v>365</v>
      </c>
      <c r="H581" s="3">
        <v>37250</v>
      </c>
      <c r="I581" s="3">
        <v>6200</v>
      </c>
      <c r="J581" s="3">
        <v>0</v>
      </c>
      <c r="K581" s="3">
        <v>43450</v>
      </c>
      <c r="L581" t="s">
        <v>1071</v>
      </c>
      <c r="M581" t="s">
        <v>1072</v>
      </c>
      <c r="N581" t="s">
        <v>1073</v>
      </c>
      <c r="O581" t="s">
        <v>1074</v>
      </c>
      <c r="P581" t="s">
        <v>1075</v>
      </c>
      <c r="Q581" t="s">
        <v>1076</v>
      </c>
      <c r="R581" t="s">
        <v>1077</v>
      </c>
      <c r="S581" t="s">
        <v>1078</v>
      </c>
      <c r="T581" t="s">
        <v>1079</v>
      </c>
      <c r="U581" t="s">
        <v>1080</v>
      </c>
      <c r="V581" t="s">
        <v>1081</v>
      </c>
      <c r="W581" t="s">
        <v>1082</v>
      </c>
      <c r="X581">
        <v>20240630</v>
      </c>
      <c r="Y581" t="s">
        <v>1083</v>
      </c>
      <c r="Z581" t="s">
        <v>1084</v>
      </c>
      <c r="AA581" s="11" t="str">
        <f t="shared" si="8"/>
        <v>EXEC [dbo].[BalanceGeneralInsertar] @Nivel ='Auxiliar',@Transaccional ='Sí',@CodigoCuentaContable ='51950501', @NombreCuentaContable ='Comisiones ',@Identificacion ='901330185',@Sucursal ='',@NombreTercero ='OPENPAY COLOMBIA S.A.S',@SaldoInicial = 37250,@MovimientoDebito = 6200,@MovimientoCredito =0,@SaldoFinal = 0,@Fecha ='20240630',@IdentificacionCliente = '901434038';</v>
      </c>
      <c r="AB581" t="s">
        <v>1085</v>
      </c>
    </row>
    <row r="582" spans="1:28" x14ac:dyDescent="0.25">
      <c r="A582" s="2" t="s">
        <v>28</v>
      </c>
      <c r="B582" s="2" t="s">
        <v>29</v>
      </c>
      <c r="C582" s="2" t="s">
        <v>619</v>
      </c>
      <c r="D582" s="2" t="s">
        <v>620</v>
      </c>
      <c r="E582" s="2" t="s">
        <v>47</v>
      </c>
      <c r="F582" s="2"/>
      <c r="G582" s="2" t="s">
        <v>48</v>
      </c>
      <c r="H582" s="3">
        <v>1100000</v>
      </c>
      <c r="I582" s="3">
        <v>0</v>
      </c>
      <c r="J582" s="3">
        <v>0</v>
      </c>
      <c r="K582" s="3">
        <v>1100000</v>
      </c>
      <c r="L582" t="s">
        <v>1071</v>
      </c>
      <c r="M582" t="s">
        <v>1072</v>
      </c>
      <c r="N582" t="s">
        <v>1073</v>
      </c>
      <c r="O582" t="s">
        <v>1074</v>
      </c>
      <c r="P582" t="s">
        <v>1075</v>
      </c>
      <c r="Q582" t="s">
        <v>1076</v>
      </c>
      <c r="R582" t="s">
        <v>1077</v>
      </c>
      <c r="S582" t="s">
        <v>1078</v>
      </c>
      <c r="T582" t="s">
        <v>1079</v>
      </c>
      <c r="U582" t="s">
        <v>1080</v>
      </c>
      <c r="V582" t="s">
        <v>1081</v>
      </c>
      <c r="W582" t="s">
        <v>1082</v>
      </c>
      <c r="X582">
        <v>20240630</v>
      </c>
      <c r="Y582" t="s">
        <v>1083</v>
      </c>
      <c r="Z582" t="s">
        <v>1084</v>
      </c>
      <c r="AA582" s="11" t="str">
        <f t="shared" si="8"/>
        <v>EXEC [dbo].[BalanceGeneralInsertar] @Nivel ='Auxiliar',@Transaccional ='Sí',@CodigoCuentaContable ='51950501', @NombreCuentaContable ='Comisiones ',@Identificacion ='52377442',@Sucursal ='',@NombreTercero ='ANGELICA MARIA QUIMBAYO',@SaldoInicial = 1100000,@MovimientoDebito = 0,@MovimientoCredito =0,@SaldoFinal = 0,@Fecha ='20240630',@IdentificacionCliente = '901434038';</v>
      </c>
      <c r="AB582" t="s">
        <v>1085</v>
      </c>
    </row>
    <row r="583" spans="1:28" x14ac:dyDescent="0.25">
      <c r="A583" s="2" t="s">
        <v>25</v>
      </c>
      <c r="B583" s="2" t="s">
        <v>16</v>
      </c>
      <c r="C583" s="2" t="s">
        <v>621</v>
      </c>
      <c r="D583" s="2" t="s">
        <v>622</v>
      </c>
      <c r="E583" s="2"/>
      <c r="F583" s="2"/>
      <c r="G583" s="2"/>
      <c r="H583" s="3">
        <v>68500</v>
      </c>
      <c r="I583" s="3">
        <v>0</v>
      </c>
      <c r="J583" s="3">
        <v>0</v>
      </c>
      <c r="K583" s="3">
        <v>68500</v>
      </c>
      <c r="L583" t="s">
        <v>1071</v>
      </c>
      <c r="M583" t="s">
        <v>1072</v>
      </c>
      <c r="N583" t="s">
        <v>1073</v>
      </c>
      <c r="O583" t="s">
        <v>1074</v>
      </c>
      <c r="P583" t="s">
        <v>1075</v>
      </c>
      <c r="Q583" t="s">
        <v>1076</v>
      </c>
      <c r="R583" t="s">
        <v>1077</v>
      </c>
      <c r="S583" t="s">
        <v>1078</v>
      </c>
      <c r="T583" t="s">
        <v>1079</v>
      </c>
      <c r="U583" t="s">
        <v>1080</v>
      </c>
      <c r="V583" t="s">
        <v>1081</v>
      </c>
      <c r="W583" t="s">
        <v>1082</v>
      </c>
      <c r="X583">
        <v>20240630</v>
      </c>
      <c r="Y583" t="s">
        <v>1083</v>
      </c>
      <c r="Z583" t="s">
        <v>1084</v>
      </c>
      <c r="AA583" s="11" t="str">
        <f t="shared" si="8"/>
        <v>EXEC [dbo].[BalanceGeneralInsertar] @Nivel ='Subcuenta',@Transaccional ='No',@CodigoCuentaContable ='519545', @NombreCuentaContable ='Taxis y buses',@Identificacion ='',@Sucursal ='',@NombreTercero ='',@SaldoInicial = 68500,@MovimientoDebito = 0,@MovimientoCredito =0,@SaldoFinal = 0,@Fecha ='20240630',@IdentificacionCliente = '901434038';</v>
      </c>
      <c r="AB583" t="s">
        <v>1085</v>
      </c>
    </row>
    <row r="584" spans="1:28" x14ac:dyDescent="0.25">
      <c r="A584" s="2" t="s">
        <v>28</v>
      </c>
      <c r="B584" s="2" t="s">
        <v>29</v>
      </c>
      <c r="C584" s="2" t="s">
        <v>623</v>
      </c>
      <c r="D584" s="2" t="s">
        <v>622</v>
      </c>
      <c r="E584" s="2" t="s">
        <v>45</v>
      </c>
      <c r="F584" s="2"/>
      <c r="G584" s="2" t="s">
        <v>46</v>
      </c>
      <c r="H584" s="3">
        <v>68500</v>
      </c>
      <c r="I584" s="3">
        <v>0</v>
      </c>
      <c r="J584" s="3">
        <v>0</v>
      </c>
      <c r="K584" s="3">
        <v>68500</v>
      </c>
      <c r="L584" t="s">
        <v>1071</v>
      </c>
      <c r="M584" t="s">
        <v>1072</v>
      </c>
      <c r="N584" t="s">
        <v>1073</v>
      </c>
      <c r="O584" t="s">
        <v>1074</v>
      </c>
      <c r="P584" t="s">
        <v>1075</v>
      </c>
      <c r="Q584" t="s">
        <v>1076</v>
      </c>
      <c r="R584" t="s">
        <v>1077</v>
      </c>
      <c r="S584" t="s">
        <v>1078</v>
      </c>
      <c r="T584" t="s">
        <v>1079</v>
      </c>
      <c r="U584" t="s">
        <v>1080</v>
      </c>
      <c r="V584" t="s">
        <v>1081</v>
      </c>
      <c r="W584" t="s">
        <v>1082</v>
      </c>
      <c r="X584">
        <v>20240630</v>
      </c>
      <c r="Y584" t="s">
        <v>1083</v>
      </c>
      <c r="Z584" t="s">
        <v>1084</v>
      </c>
      <c r="AA584" s="11" t="str">
        <f t="shared" si="8"/>
        <v>EXEC [dbo].[BalanceGeneralInsertar] @Nivel ='Auxiliar',@Transaccional ='Sí',@CodigoCuentaContable ='51954501', @NombreCuentaContable ='Taxis y buses',@Identificacion ='1007847504',@Sucursal ='',@NombreTercero ='Lizeth Atehortua Olarte',@SaldoInicial = 68500,@MovimientoDebito = 0,@MovimientoCredito =0,@SaldoFinal = 0,@Fecha ='20240630',@IdentificacionCliente = '901434038';</v>
      </c>
      <c r="AB584" t="s">
        <v>1085</v>
      </c>
    </row>
    <row r="585" spans="1:28" x14ac:dyDescent="0.25">
      <c r="A585" s="2" t="s">
        <v>25</v>
      </c>
      <c r="B585" s="2" t="s">
        <v>16</v>
      </c>
      <c r="C585" s="2" t="s">
        <v>624</v>
      </c>
      <c r="D585" s="2" t="s">
        <v>625</v>
      </c>
      <c r="E585" s="2"/>
      <c r="F585" s="2"/>
      <c r="G585" s="2"/>
      <c r="H585" s="3">
        <v>212837</v>
      </c>
      <c r="I585" s="3">
        <v>0</v>
      </c>
      <c r="J585" s="3">
        <v>0</v>
      </c>
      <c r="K585" s="3">
        <v>212837</v>
      </c>
      <c r="L585" t="s">
        <v>1071</v>
      </c>
      <c r="M585" t="s">
        <v>1072</v>
      </c>
      <c r="N585" t="s">
        <v>1073</v>
      </c>
      <c r="O585" t="s">
        <v>1074</v>
      </c>
      <c r="P585" t="s">
        <v>1075</v>
      </c>
      <c r="Q585" t="s">
        <v>1076</v>
      </c>
      <c r="R585" t="s">
        <v>1077</v>
      </c>
      <c r="S585" t="s">
        <v>1078</v>
      </c>
      <c r="T585" t="s">
        <v>1079</v>
      </c>
      <c r="U585" t="s">
        <v>1080</v>
      </c>
      <c r="V585" t="s">
        <v>1081</v>
      </c>
      <c r="W585" t="s">
        <v>1082</v>
      </c>
      <c r="X585">
        <v>20240630</v>
      </c>
      <c r="Y585" t="s">
        <v>1083</v>
      </c>
      <c r="Z585" t="s">
        <v>1084</v>
      </c>
      <c r="AA585" s="11" t="str">
        <f t="shared" si="8"/>
        <v>EXEC [dbo].[BalanceGeneralInsertar] @Nivel ='Subcuenta',@Transaccional ='No',@CodigoCuentaContable ='519560', @NombreCuentaContable ='Casino y restaurante',@Identificacion ='',@Sucursal ='',@NombreTercero ='',@SaldoInicial = 212837,@MovimientoDebito = 0,@MovimientoCredito =0,@SaldoFinal = 0,@Fecha ='20240630',@IdentificacionCliente = '901434038';</v>
      </c>
      <c r="AB585" t="s">
        <v>1085</v>
      </c>
    </row>
    <row r="586" spans="1:28" x14ac:dyDescent="0.25">
      <c r="A586" s="2" t="s">
        <v>28</v>
      </c>
      <c r="B586" s="2" t="s">
        <v>29</v>
      </c>
      <c r="C586" s="2" t="s">
        <v>626</v>
      </c>
      <c r="D586" s="2" t="s">
        <v>625</v>
      </c>
      <c r="E586" s="2" t="s">
        <v>61</v>
      </c>
      <c r="F586" s="2"/>
      <c r="G586" s="2" t="s">
        <v>62</v>
      </c>
      <c r="H586" s="3">
        <v>212837</v>
      </c>
      <c r="I586" s="3">
        <v>0</v>
      </c>
      <c r="J586" s="3">
        <v>0</v>
      </c>
      <c r="K586" s="3">
        <v>212837</v>
      </c>
      <c r="L586" t="s">
        <v>1071</v>
      </c>
      <c r="M586" t="s">
        <v>1072</v>
      </c>
      <c r="N586" t="s">
        <v>1073</v>
      </c>
      <c r="O586" t="s">
        <v>1074</v>
      </c>
      <c r="P586" t="s">
        <v>1075</v>
      </c>
      <c r="Q586" t="s">
        <v>1076</v>
      </c>
      <c r="R586" t="s">
        <v>1077</v>
      </c>
      <c r="S586" t="s">
        <v>1078</v>
      </c>
      <c r="T586" t="s">
        <v>1079</v>
      </c>
      <c r="U586" t="s">
        <v>1080</v>
      </c>
      <c r="V586" t="s">
        <v>1081</v>
      </c>
      <c r="W586" t="s">
        <v>1082</v>
      </c>
      <c r="X586">
        <v>20240630</v>
      </c>
      <c r="Y586" t="s">
        <v>1083</v>
      </c>
      <c r="Z586" t="s">
        <v>1084</v>
      </c>
      <c r="AA586" s="11" t="str">
        <f t="shared" ref="AA586:AA639" si="9">_xlfn.CONCAT(L586,Y586,A586,Y586,Z586,M586,Y586,B586,Y586,Z586,N586,Y586,C586,Y586,Z586,AB586,Y586,D586,Y586,Z586,O586,Y586,E586,Y586,Z586,P586,Y586,F586,Y586,Z586,Q586,Y586,G586,Y586,Z586,R586,H586,Z586,S586,I586,Z586,T586,J586,Z586,U586,J586,Z586,V586,Y586,X586,Y586,Z586,W586,Y586,"901434038",Y586,";")</f>
        <v>EXEC [dbo].[BalanceGeneralInsertar] @Nivel ='Auxiliar',@Transaccional ='Sí',@CodigoCuentaContable ='51956001', @NombreCuentaContable ='Casino y restaurante',@Identificacion ='900995954',@Sucursal ='',@NombreTercero ='SEMPLI S.A.S.',@SaldoInicial = 212837,@MovimientoDebito = 0,@MovimientoCredito =0,@SaldoFinal = 0,@Fecha ='20240630',@IdentificacionCliente = '901434038';</v>
      </c>
      <c r="AB586" t="s">
        <v>1085</v>
      </c>
    </row>
    <row r="587" spans="1:28" x14ac:dyDescent="0.25">
      <c r="A587" s="2" t="s">
        <v>25</v>
      </c>
      <c r="B587" s="2" t="s">
        <v>16</v>
      </c>
      <c r="C587" s="2" t="s">
        <v>627</v>
      </c>
      <c r="D587" s="2" t="s">
        <v>212</v>
      </c>
      <c r="E587" s="2"/>
      <c r="F587" s="2"/>
      <c r="G587" s="2"/>
      <c r="H587" s="3">
        <v>264074</v>
      </c>
      <c r="I587" s="3">
        <v>420168</v>
      </c>
      <c r="J587" s="3">
        <v>0</v>
      </c>
      <c r="K587" s="3">
        <v>684242</v>
      </c>
      <c r="L587" t="s">
        <v>1071</v>
      </c>
      <c r="M587" t="s">
        <v>1072</v>
      </c>
      <c r="N587" t="s">
        <v>1073</v>
      </c>
      <c r="O587" t="s">
        <v>1074</v>
      </c>
      <c r="P587" t="s">
        <v>1075</v>
      </c>
      <c r="Q587" t="s">
        <v>1076</v>
      </c>
      <c r="R587" t="s">
        <v>1077</v>
      </c>
      <c r="S587" t="s">
        <v>1078</v>
      </c>
      <c r="T587" t="s">
        <v>1079</v>
      </c>
      <c r="U587" t="s">
        <v>1080</v>
      </c>
      <c r="V587" t="s">
        <v>1081</v>
      </c>
      <c r="W587" t="s">
        <v>1082</v>
      </c>
      <c r="X587">
        <v>20240630</v>
      </c>
      <c r="Y587" t="s">
        <v>1083</v>
      </c>
      <c r="Z587" t="s">
        <v>1084</v>
      </c>
      <c r="AA587" s="11" t="str">
        <f t="shared" si="9"/>
        <v>EXEC [dbo].[BalanceGeneralInsertar] @Nivel ='Subcuenta',@Transaccional ='No',@CodigoCuentaContable ='519595', @NombreCuentaContable ='Otros',@Identificacion ='',@Sucursal ='',@NombreTercero ='',@SaldoInicial = 264074,@MovimientoDebito = 420168,@MovimientoCredito =0,@SaldoFinal = 0,@Fecha ='20240630',@IdentificacionCliente = '901434038';</v>
      </c>
      <c r="AB587" t="s">
        <v>1085</v>
      </c>
    </row>
    <row r="588" spans="1:28" x14ac:dyDescent="0.25">
      <c r="A588" s="2" t="s">
        <v>28</v>
      </c>
      <c r="B588" s="2" t="s">
        <v>29</v>
      </c>
      <c r="C588" s="2" t="s">
        <v>628</v>
      </c>
      <c r="D588" s="2" t="s">
        <v>212</v>
      </c>
      <c r="E588" s="2" t="s">
        <v>119</v>
      </c>
      <c r="F588" s="2"/>
      <c r="G588" s="2" t="s">
        <v>120</v>
      </c>
      <c r="H588" s="3">
        <v>264074</v>
      </c>
      <c r="I588" s="3">
        <v>0</v>
      </c>
      <c r="J588" s="3">
        <v>0</v>
      </c>
      <c r="K588" s="3">
        <v>264074</v>
      </c>
      <c r="L588" t="s">
        <v>1071</v>
      </c>
      <c r="M588" t="s">
        <v>1072</v>
      </c>
      <c r="N588" t="s">
        <v>1073</v>
      </c>
      <c r="O588" t="s">
        <v>1074</v>
      </c>
      <c r="P588" t="s">
        <v>1075</v>
      </c>
      <c r="Q588" t="s">
        <v>1076</v>
      </c>
      <c r="R588" t="s">
        <v>1077</v>
      </c>
      <c r="S588" t="s">
        <v>1078</v>
      </c>
      <c r="T588" t="s">
        <v>1079</v>
      </c>
      <c r="U588" t="s">
        <v>1080</v>
      </c>
      <c r="V588" t="s">
        <v>1081</v>
      </c>
      <c r="W588" t="s">
        <v>1082</v>
      </c>
      <c r="X588">
        <v>20240630</v>
      </c>
      <c r="Y588" t="s">
        <v>1083</v>
      </c>
      <c r="Z588" t="s">
        <v>1084</v>
      </c>
      <c r="AA588" s="11" t="str">
        <f t="shared" si="9"/>
        <v>EXEC [dbo].[BalanceGeneralInsertar] @Nivel ='Auxiliar',@Transaccional ='Sí',@CodigoCuentaContable ='51959501', @NombreCuentaContable ='Otros',@Identificacion ='80196373',@Sucursal ='',@NombreTercero ='JUAN FERNANDO DURAN LOPEZ',@SaldoInicial = 264074,@MovimientoDebito = 0,@MovimientoCredito =0,@SaldoFinal = 0,@Fecha ='20240630',@IdentificacionCliente = '901434038';</v>
      </c>
      <c r="AB588" t="s">
        <v>1085</v>
      </c>
    </row>
    <row r="589" spans="1:28" x14ac:dyDescent="0.25">
      <c r="A589" s="2" t="s">
        <v>28</v>
      </c>
      <c r="B589" s="2" t="s">
        <v>29</v>
      </c>
      <c r="C589" s="2" t="s">
        <v>628</v>
      </c>
      <c r="D589" s="2" t="s">
        <v>212</v>
      </c>
      <c r="E589" s="2" t="s">
        <v>99</v>
      </c>
      <c r="F589" s="2"/>
      <c r="G589" s="2" t="s">
        <v>100</v>
      </c>
      <c r="H589" s="3">
        <v>0</v>
      </c>
      <c r="I589" s="3">
        <v>420168</v>
      </c>
      <c r="J589" s="3">
        <v>0</v>
      </c>
      <c r="K589" s="3">
        <v>420168</v>
      </c>
      <c r="L589" t="s">
        <v>1071</v>
      </c>
      <c r="M589" t="s">
        <v>1072</v>
      </c>
      <c r="N589" t="s">
        <v>1073</v>
      </c>
      <c r="O589" t="s">
        <v>1074</v>
      </c>
      <c r="P589" t="s">
        <v>1075</v>
      </c>
      <c r="Q589" t="s">
        <v>1076</v>
      </c>
      <c r="R589" t="s">
        <v>1077</v>
      </c>
      <c r="S589" t="s">
        <v>1078</v>
      </c>
      <c r="T589" t="s">
        <v>1079</v>
      </c>
      <c r="U589" t="s">
        <v>1080</v>
      </c>
      <c r="V589" t="s">
        <v>1081</v>
      </c>
      <c r="W589" t="s">
        <v>1082</v>
      </c>
      <c r="X589">
        <v>20240630</v>
      </c>
      <c r="Y589" t="s">
        <v>1083</v>
      </c>
      <c r="Z589" t="s">
        <v>1084</v>
      </c>
      <c r="AA589" s="11" t="str">
        <f t="shared" si="9"/>
        <v>EXEC [dbo].[BalanceGeneralInsertar] @Nivel ='Auxiliar',@Transaccional ='Sí',@CodigoCuentaContable ='51959501', @NombreCuentaContable ='Otros',@Identificacion ='900397663',@Sucursal ='',@NombreTercero ='BTL COLOMBIA SAS',@SaldoInicial = 0,@MovimientoDebito = 420168,@MovimientoCredito =0,@SaldoFinal = 0,@Fecha ='20240630',@IdentificacionCliente = '901434038';</v>
      </c>
      <c r="AB589" t="s">
        <v>1085</v>
      </c>
    </row>
    <row r="590" spans="1:28" x14ac:dyDescent="0.25">
      <c r="A590" s="2" t="s">
        <v>19</v>
      </c>
      <c r="B590" s="2" t="s">
        <v>16</v>
      </c>
      <c r="C590" s="2" t="s">
        <v>629</v>
      </c>
      <c r="D590" s="2" t="s">
        <v>630</v>
      </c>
      <c r="E590" s="2"/>
      <c r="F590" s="2"/>
      <c r="G590" s="2"/>
      <c r="H590" s="3">
        <v>3570575</v>
      </c>
      <c r="I590" s="3">
        <v>1111111</v>
      </c>
      <c r="J590" s="3">
        <v>0</v>
      </c>
      <c r="K590" s="3">
        <v>4681686</v>
      </c>
      <c r="L590" t="s">
        <v>1071</v>
      </c>
      <c r="M590" t="s">
        <v>1072</v>
      </c>
      <c r="N590" t="s">
        <v>1073</v>
      </c>
      <c r="O590" t="s">
        <v>1074</v>
      </c>
      <c r="P590" t="s">
        <v>1075</v>
      </c>
      <c r="Q590" t="s">
        <v>1076</v>
      </c>
      <c r="R590" t="s">
        <v>1077</v>
      </c>
      <c r="S590" t="s">
        <v>1078</v>
      </c>
      <c r="T590" t="s">
        <v>1079</v>
      </c>
      <c r="U590" t="s">
        <v>1080</v>
      </c>
      <c r="V590" t="s">
        <v>1081</v>
      </c>
      <c r="W590" t="s">
        <v>1082</v>
      </c>
      <c r="X590">
        <v>20240630</v>
      </c>
      <c r="Y590" t="s">
        <v>1083</v>
      </c>
      <c r="Z590" t="s">
        <v>1084</v>
      </c>
      <c r="AA590" s="11" t="str">
        <f t="shared" si="9"/>
        <v>EXEC [dbo].[BalanceGeneralInsertar] @Nivel ='Grupo',@Transaccional ='No',@CodigoCuentaContable ='52', @NombreCuentaContable ='Ventas',@Identificacion ='',@Sucursal ='',@NombreTercero ='',@SaldoInicial = 3570575,@MovimientoDebito = 1111111,@MovimientoCredito =0,@SaldoFinal = 0,@Fecha ='20240630',@IdentificacionCliente = '901434038';</v>
      </c>
      <c r="AB590" t="s">
        <v>1085</v>
      </c>
    </row>
    <row r="591" spans="1:28" x14ac:dyDescent="0.25">
      <c r="A591" s="2" t="s">
        <v>22</v>
      </c>
      <c r="B591" s="2" t="s">
        <v>16</v>
      </c>
      <c r="C591" s="2" t="s">
        <v>631</v>
      </c>
      <c r="D591" s="2" t="s">
        <v>552</v>
      </c>
      <c r="E591" s="2"/>
      <c r="F591" s="2"/>
      <c r="G591" s="2"/>
      <c r="H591" s="3">
        <v>3570575</v>
      </c>
      <c r="I591" s="3">
        <v>1111111</v>
      </c>
      <c r="J591" s="3">
        <v>0</v>
      </c>
      <c r="K591" s="3">
        <v>4681686</v>
      </c>
      <c r="L591" t="s">
        <v>1071</v>
      </c>
      <c r="M591" t="s">
        <v>1072</v>
      </c>
      <c r="N591" t="s">
        <v>1073</v>
      </c>
      <c r="O591" t="s">
        <v>1074</v>
      </c>
      <c r="P591" t="s">
        <v>1075</v>
      </c>
      <c r="Q591" t="s">
        <v>1076</v>
      </c>
      <c r="R591" t="s">
        <v>1077</v>
      </c>
      <c r="S591" t="s">
        <v>1078</v>
      </c>
      <c r="T591" t="s">
        <v>1079</v>
      </c>
      <c r="U591" t="s">
        <v>1080</v>
      </c>
      <c r="V591" t="s">
        <v>1081</v>
      </c>
      <c r="W591" t="s">
        <v>1082</v>
      </c>
      <c r="X591">
        <v>20240630</v>
      </c>
      <c r="Y591" t="s">
        <v>1083</v>
      </c>
      <c r="Z591" t="s">
        <v>1084</v>
      </c>
      <c r="AA591" s="11" t="str">
        <f t="shared" si="9"/>
        <v>EXEC [dbo].[BalanceGeneralInsertar] @Nivel ='Cuenta',@Transaccional ='No',@CodigoCuentaContable ='5295', @NombreCuentaContable ='Diversos',@Identificacion ='',@Sucursal ='',@NombreTercero ='',@SaldoInicial = 3570575,@MovimientoDebito = 1111111,@MovimientoCredito =0,@SaldoFinal = 0,@Fecha ='20240630',@IdentificacionCliente = '901434038';</v>
      </c>
      <c r="AB591" t="s">
        <v>1085</v>
      </c>
    </row>
    <row r="592" spans="1:28" x14ac:dyDescent="0.25">
      <c r="A592" s="2" t="s">
        <v>25</v>
      </c>
      <c r="B592" s="2" t="s">
        <v>16</v>
      </c>
      <c r="C592" s="2" t="s">
        <v>632</v>
      </c>
      <c r="D592" s="2" t="s">
        <v>379</v>
      </c>
      <c r="E592" s="2"/>
      <c r="F592" s="2"/>
      <c r="G592" s="2"/>
      <c r="H592" s="3">
        <v>3570575</v>
      </c>
      <c r="I592" s="3">
        <v>1111111</v>
      </c>
      <c r="J592" s="3">
        <v>0</v>
      </c>
      <c r="K592" s="3">
        <v>4681686</v>
      </c>
      <c r="L592" t="s">
        <v>1071</v>
      </c>
      <c r="M592" t="s">
        <v>1072</v>
      </c>
      <c r="N592" t="s">
        <v>1073</v>
      </c>
      <c r="O592" t="s">
        <v>1074</v>
      </c>
      <c r="P592" t="s">
        <v>1075</v>
      </c>
      <c r="Q592" t="s">
        <v>1076</v>
      </c>
      <c r="R592" t="s">
        <v>1077</v>
      </c>
      <c r="S592" t="s">
        <v>1078</v>
      </c>
      <c r="T592" t="s">
        <v>1079</v>
      </c>
      <c r="U592" t="s">
        <v>1080</v>
      </c>
      <c r="V592" t="s">
        <v>1081</v>
      </c>
      <c r="W592" t="s">
        <v>1082</v>
      </c>
      <c r="X592">
        <v>20240630</v>
      </c>
      <c r="Y592" t="s">
        <v>1083</v>
      </c>
      <c r="Z592" t="s">
        <v>1084</v>
      </c>
      <c r="AA592" s="11" t="str">
        <f t="shared" si="9"/>
        <v>EXEC [dbo].[BalanceGeneralInsertar] @Nivel ='Subcuenta',@Transaccional ='No',@CodigoCuentaContable ='529505', @NombreCuentaContable ='Comisiones',@Identificacion ='',@Sucursal ='',@NombreTercero ='',@SaldoInicial = 3570575,@MovimientoDebito = 1111111,@MovimientoCredito =0,@SaldoFinal = 0,@Fecha ='20240630',@IdentificacionCliente = '901434038';</v>
      </c>
      <c r="AB592" t="s">
        <v>1085</v>
      </c>
    </row>
    <row r="593" spans="1:28" x14ac:dyDescent="0.25">
      <c r="A593" s="2" t="s">
        <v>28</v>
      </c>
      <c r="B593" s="2" t="s">
        <v>29</v>
      </c>
      <c r="C593" s="2" t="s">
        <v>633</v>
      </c>
      <c r="D593" s="2" t="s">
        <v>379</v>
      </c>
      <c r="E593" s="2" t="s">
        <v>49</v>
      </c>
      <c r="F593" s="2"/>
      <c r="G593" s="2" t="s">
        <v>50</v>
      </c>
      <c r="H593" s="3">
        <v>3570575</v>
      </c>
      <c r="I593" s="3">
        <v>1111111</v>
      </c>
      <c r="J593" s="3">
        <v>0</v>
      </c>
      <c r="K593" s="3">
        <v>4681686</v>
      </c>
      <c r="L593" t="s">
        <v>1071</v>
      </c>
      <c r="M593" t="s">
        <v>1072</v>
      </c>
      <c r="N593" t="s">
        <v>1073</v>
      </c>
      <c r="O593" t="s">
        <v>1074</v>
      </c>
      <c r="P593" t="s">
        <v>1075</v>
      </c>
      <c r="Q593" t="s">
        <v>1076</v>
      </c>
      <c r="R593" t="s">
        <v>1077</v>
      </c>
      <c r="S593" t="s">
        <v>1078</v>
      </c>
      <c r="T593" t="s">
        <v>1079</v>
      </c>
      <c r="U593" t="s">
        <v>1080</v>
      </c>
      <c r="V593" t="s">
        <v>1081</v>
      </c>
      <c r="W593" t="s">
        <v>1082</v>
      </c>
      <c r="X593">
        <v>20240630</v>
      </c>
      <c r="Y593" t="s">
        <v>1083</v>
      </c>
      <c r="Z593" t="s">
        <v>1084</v>
      </c>
      <c r="AA593" s="11" t="str">
        <f t="shared" si="9"/>
        <v>EXEC [dbo].[BalanceGeneralInsertar] @Nivel ='Auxiliar',@Transaccional ='Sí',@CodigoCuentaContable ='52950501', @NombreCuentaContable ='Comisiones',@Identificacion ='7128531',@Sucursal ='',@NombreTercero ='GABRIEL OBDULIO REINA TOVAR',@SaldoInicial = 3570575,@MovimientoDebito = 1111111,@MovimientoCredito =0,@SaldoFinal = 0,@Fecha ='20240630',@IdentificacionCliente = '901434038';</v>
      </c>
      <c r="AB593" t="s">
        <v>1085</v>
      </c>
    </row>
    <row r="594" spans="1:28" x14ac:dyDescent="0.25">
      <c r="A594" s="2" t="s">
        <v>19</v>
      </c>
      <c r="B594" s="2" t="s">
        <v>16</v>
      </c>
      <c r="C594" s="2" t="s">
        <v>634</v>
      </c>
      <c r="D594" s="2" t="s">
        <v>635</v>
      </c>
      <c r="E594" s="2"/>
      <c r="F594" s="2"/>
      <c r="G594" s="2"/>
      <c r="H594" s="3" t="s">
        <v>1030</v>
      </c>
      <c r="I594" s="3" t="s">
        <v>1031</v>
      </c>
      <c r="J594" s="3">
        <v>0</v>
      </c>
      <c r="K594" s="3" t="s">
        <v>1032</v>
      </c>
      <c r="L594" t="s">
        <v>1071</v>
      </c>
      <c r="M594" t="s">
        <v>1072</v>
      </c>
      <c r="N594" t="s">
        <v>1073</v>
      </c>
      <c r="O594" t="s">
        <v>1074</v>
      </c>
      <c r="P594" t="s">
        <v>1075</v>
      </c>
      <c r="Q594" t="s">
        <v>1076</v>
      </c>
      <c r="R594" t="s">
        <v>1077</v>
      </c>
      <c r="S594" t="s">
        <v>1078</v>
      </c>
      <c r="T594" t="s">
        <v>1079</v>
      </c>
      <c r="U594" t="s">
        <v>1080</v>
      </c>
      <c r="V594" t="s">
        <v>1081</v>
      </c>
      <c r="W594" t="s">
        <v>1082</v>
      </c>
      <c r="X594">
        <v>20240630</v>
      </c>
      <c r="Y594" t="s">
        <v>1083</v>
      </c>
      <c r="Z594" t="s">
        <v>1084</v>
      </c>
      <c r="AA594" s="11" t="str">
        <f t="shared" si="9"/>
        <v>EXEC [dbo].[BalanceGeneralInsertar] @Nivel ='Grupo',@Transaccional ='No',@CodigoCuentaContable ='53', @NombreCuentaContable ='Otros gastos de actividades ordinarias',@Identificacion ='',@Sucursal ='',@NombreTercero ='',@SaldoInicial = 57316599.92,@MovimientoDebito = 7948192.58,@MovimientoCredito =0,@SaldoFinal = 0,@Fecha ='20240630',@IdentificacionCliente = '901434038';</v>
      </c>
      <c r="AB594" t="s">
        <v>1085</v>
      </c>
    </row>
    <row r="595" spans="1:28" x14ac:dyDescent="0.25">
      <c r="A595" s="2" t="s">
        <v>22</v>
      </c>
      <c r="B595" s="2" t="s">
        <v>16</v>
      </c>
      <c r="C595" s="2" t="s">
        <v>636</v>
      </c>
      <c r="D595" s="2" t="s">
        <v>543</v>
      </c>
      <c r="E595" s="2"/>
      <c r="F595" s="2"/>
      <c r="G595" s="2"/>
      <c r="H595" s="3" t="s">
        <v>1033</v>
      </c>
      <c r="I595" s="3" t="s">
        <v>1034</v>
      </c>
      <c r="J595" s="3">
        <v>0</v>
      </c>
      <c r="K595" s="3" t="s">
        <v>1035</v>
      </c>
      <c r="L595" t="s">
        <v>1071</v>
      </c>
      <c r="M595" t="s">
        <v>1072</v>
      </c>
      <c r="N595" t="s">
        <v>1073</v>
      </c>
      <c r="O595" t="s">
        <v>1074</v>
      </c>
      <c r="P595" t="s">
        <v>1075</v>
      </c>
      <c r="Q595" t="s">
        <v>1076</v>
      </c>
      <c r="R595" t="s">
        <v>1077</v>
      </c>
      <c r="S595" t="s">
        <v>1078</v>
      </c>
      <c r="T595" t="s">
        <v>1079</v>
      </c>
      <c r="U595" t="s">
        <v>1080</v>
      </c>
      <c r="V595" t="s">
        <v>1081</v>
      </c>
      <c r="W595" t="s">
        <v>1082</v>
      </c>
      <c r="X595">
        <v>20240630</v>
      </c>
      <c r="Y595" t="s">
        <v>1083</v>
      </c>
      <c r="Z595" t="s">
        <v>1084</v>
      </c>
      <c r="AA595" s="11" t="str">
        <f t="shared" si="9"/>
        <v>EXEC [dbo].[BalanceGeneralInsertar] @Nivel ='Cuenta',@Transaccional ='No',@CodigoCuentaContable ='5305', @NombreCuentaContable ='Financieros',@Identificacion ='',@Sucursal ='',@NombreTercero ='',@SaldoInicial = 57114763.41,@MovimientoDebito = 7915572.74,@MovimientoCredito =0,@SaldoFinal = 0,@Fecha ='20240630',@IdentificacionCliente = '901434038';</v>
      </c>
      <c r="AB595" t="s">
        <v>1085</v>
      </c>
    </row>
    <row r="596" spans="1:28" x14ac:dyDescent="0.25">
      <c r="A596" s="2" t="s">
        <v>25</v>
      </c>
      <c r="B596" s="2" t="s">
        <v>16</v>
      </c>
      <c r="C596" s="2" t="s">
        <v>637</v>
      </c>
      <c r="D596" s="2" t="s">
        <v>638</v>
      </c>
      <c r="E596" s="2"/>
      <c r="F596" s="2"/>
      <c r="G596" s="2"/>
      <c r="H596" s="3" t="s">
        <v>1036</v>
      </c>
      <c r="I596" s="3" t="s">
        <v>1037</v>
      </c>
      <c r="J596" s="3">
        <v>0</v>
      </c>
      <c r="K596" s="3" t="s">
        <v>1038</v>
      </c>
      <c r="L596" t="s">
        <v>1071</v>
      </c>
      <c r="M596" t="s">
        <v>1072</v>
      </c>
      <c r="N596" t="s">
        <v>1073</v>
      </c>
      <c r="O596" t="s">
        <v>1074</v>
      </c>
      <c r="P596" t="s">
        <v>1075</v>
      </c>
      <c r="Q596" t="s">
        <v>1076</v>
      </c>
      <c r="R596" t="s">
        <v>1077</v>
      </c>
      <c r="S596" t="s">
        <v>1078</v>
      </c>
      <c r="T596" t="s">
        <v>1079</v>
      </c>
      <c r="U596" t="s">
        <v>1080</v>
      </c>
      <c r="V596" t="s">
        <v>1081</v>
      </c>
      <c r="W596" t="s">
        <v>1082</v>
      </c>
      <c r="X596">
        <v>20240630</v>
      </c>
      <c r="Y596" t="s">
        <v>1083</v>
      </c>
      <c r="Z596" t="s">
        <v>1084</v>
      </c>
      <c r="AA596" s="11" t="str">
        <f t="shared" si="9"/>
        <v>EXEC [dbo].[BalanceGeneralInsertar] @Nivel ='Subcuenta',@Transaccional ='No',@CodigoCuentaContable ='530505', @NombreCuentaContable ='Gastos bancarios',@Identificacion ='',@Sucursal ='',@NombreTercero ='',@SaldoInicial = 9507180.14,@MovimientoDebito = 342937.22,@MovimientoCredito =0,@SaldoFinal = 0,@Fecha ='20240630',@IdentificacionCliente = '901434038';</v>
      </c>
      <c r="AB596" t="s">
        <v>1085</v>
      </c>
    </row>
    <row r="597" spans="1:28" x14ac:dyDescent="0.25">
      <c r="A597" s="2" t="s">
        <v>28</v>
      </c>
      <c r="B597" s="2" t="s">
        <v>29</v>
      </c>
      <c r="C597" s="2" t="s">
        <v>639</v>
      </c>
      <c r="D597" s="2" t="s">
        <v>638</v>
      </c>
      <c r="E597" s="2" t="s">
        <v>35</v>
      </c>
      <c r="F597" s="2"/>
      <c r="G597" s="2" t="s">
        <v>36</v>
      </c>
      <c r="H597" s="3">
        <v>4839132</v>
      </c>
      <c r="I597" s="3">
        <v>69200</v>
      </c>
      <c r="J597" s="3">
        <v>0</v>
      </c>
      <c r="K597" s="3">
        <v>4908332</v>
      </c>
      <c r="L597" t="s">
        <v>1071</v>
      </c>
      <c r="M597" t="s">
        <v>1072</v>
      </c>
      <c r="N597" t="s">
        <v>1073</v>
      </c>
      <c r="O597" t="s">
        <v>1074</v>
      </c>
      <c r="P597" t="s">
        <v>1075</v>
      </c>
      <c r="Q597" t="s">
        <v>1076</v>
      </c>
      <c r="R597" t="s">
        <v>1077</v>
      </c>
      <c r="S597" t="s">
        <v>1078</v>
      </c>
      <c r="T597" t="s">
        <v>1079</v>
      </c>
      <c r="U597" t="s">
        <v>1080</v>
      </c>
      <c r="V597" t="s">
        <v>1081</v>
      </c>
      <c r="W597" t="s">
        <v>1082</v>
      </c>
      <c r="X597">
        <v>20240630</v>
      </c>
      <c r="Y597" t="s">
        <v>1083</v>
      </c>
      <c r="Z597" t="s">
        <v>1084</v>
      </c>
      <c r="AA597" s="11" t="str">
        <f t="shared" si="9"/>
        <v>EXEC [dbo].[BalanceGeneralInsertar] @Nivel ='Auxiliar',@Transaccional ='Sí',@CodigoCuentaContable ='53050501', @NombreCuentaContable ='Gastos bancarios',@Identificacion ='890903938',@Sucursal ='',@NombreTercero ='Bancolombia',@SaldoInicial = 4839132,@MovimientoDebito = 69200,@MovimientoCredito =0,@SaldoFinal = 0,@Fecha ='20240630',@IdentificacionCliente = '901434038';</v>
      </c>
      <c r="AB597" t="s">
        <v>1085</v>
      </c>
    </row>
    <row r="598" spans="1:28" x14ac:dyDescent="0.25">
      <c r="A598" s="2" t="s">
        <v>28</v>
      </c>
      <c r="B598" s="2" t="s">
        <v>29</v>
      </c>
      <c r="C598" s="2" t="s">
        <v>639</v>
      </c>
      <c r="D598" s="2" t="s">
        <v>638</v>
      </c>
      <c r="E598" s="2" t="s">
        <v>125</v>
      </c>
      <c r="F598" s="2"/>
      <c r="G598" s="2" t="s">
        <v>126</v>
      </c>
      <c r="H598" s="3">
        <v>20701</v>
      </c>
      <c r="I598" s="3">
        <v>0</v>
      </c>
      <c r="J598" s="3">
        <v>0</v>
      </c>
      <c r="K598" s="3">
        <v>20701</v>
      </c>
      <c r="L598" t="s">
        <v>1071</v>
      </c>
      <c r="M598" t="s">
        <v>1072</v>
      </c>
      <c r="N598" t="s">
        <v>1073</v>
      </c>
      <c r="O598" t="s">
        <v>1074</v>
      </c>
      <c r="P598" t="s">
        <v>1075</v>
      </c>
      <c r="Q598" t="s">
        <v>1076</v>
      </c>
      <c r="R598" t="s">
        <v>1077</v>
      </c>
      <c r="S598" t="s">
        <v>1078</v>
      </c>
      <c r="T598" t="s">
        <v>1079</v>
      </c>
      <c r="U598" t="s">
        <v>1080</v>
      </c>
      <c r="V598" t="s">
        <v>1081</v>
      </c>
      <c r="W598" t="s">
        <v>1082</v>
      </c>
      <c r="X598">
        <v>20240630</v>
      </c>
      <c r="Y598" t="s">
        <v>1083</v>
      </c>
      <c r="Z598" t="s">
        <v>1084</v>
      </c>
      <c r="AA598" s="11" t="str">
        <f t="shared" si="9"/>
        <v>EXEC [dbo].[BalanceGeneralInsertar] @Nivel ='Auxiliar',@Transaccional ='Sí',@CodigoCuentaContable ='53050501', @NombreCuentaContable ='Gastos bancarios',@Identificacion ='860003020',@Sucursal ='',@NombreTercero ='BBVA',@SaldoInicial = 20701,@MovimientoDebito = 0,@MovimientoCredito =0,@SaldoFinal = 0,@Fecha ='20240630',@IdentificacionCliente = '901434038';</v>
      </c>
      <c r="AB598" t="s">
        <v>1085</v>
      </c>
    </row>
    <row r="599" spans="1:28" x14ac:dyDescent="0.25">
      <c r="A599" s="2" t="s">
        <v>28</v>
      </c>
      <c r="B599" s="2" t="s">
        <v>29</v>
      </c>
      <c r="C599" s="2" t="s">
        <v>639</v>
      </c>
      <c r="D599" s="2" t="s">
        <v>638</v>
      </c>
      <c r="E599" s="2" t="s">
        <v>107</v>
      </c>
      <c r="F599" s="2"/>
      <c r="G599" s="2" t="s">
        <v>108</v>
      </c>
      <c r="H599" s="3" t="s">
        <v>1039</v>
      </c>
      <c r="I599" s="3">
        <v>0</v>
      </c>
      <c r="J599" s="3">
        <v>0</v>
      </c>
      <c r="K599" s="3" t="s">
        <v>1039</v>
      </c>
      <c r="L599" t="s">
        <v>1071</v>
      </c>
      <c r="M599" t="s">
        <v>1072</v>
      </c>
      <c r="N599" t="s">
        <v>1073</v>
      </c>
      <c r="O599" t="s">
        <v>1074</v>
      </c>
      <c r="P599" t="s">
        <v>1075</v>
      </c>
      <c r="Q599" t="s">
        <v>1076</v>
      </c>
      <c r="R599" t="s">
        <v>1077</v>
      </c>
      <c r="S599" t="s">
        <v>1078</v>
      </c>
      <c r="T599" t="s">
        <v>1079</v>
      </c>
      <c r="U599" t="s">
        <v>1080</v>
      </c>
      <c r="V599" t="s">
        <v>1081</v>
      </c>
      <c r="W599" t="s">
        <v>1082</v>
      </c>
      <c r="X599">
        <v>20240630</v>
      </c>
      <c r="Y599" t="s">
        <v>1083</v>
      </c>
      <c r="Z599" t="s">
        <v>1084</v>
      </c>
      <c r="AA599" s="11" t="str">
        <f t="shared" si="9"/>
        <v>EXEC [dbo].[BalanceGeneralInsertar] @Nivel ='Auxiliar',@Transaccional ='Sí',@CodigoCuentaContable ='53050501', @NombreCuentaContable ='Gastos bancarios',@Identificacion ='860531315',@Sucursal ='',@NombreTercero ='ALIANZA FIDUCIARIA S.A.',@SaldoInicial = 274128.97,@MovimientoDebito = 0,@MovimientoCredito =0,@SaldoFinal = 0,@Fecha ='20240630',@IdentificacionCliente = '901434038';</v>
      </c>
      <c r="AB599" t="s">
        <v>1085</v>
      </c>
    </row>
    <row r="600" spans="1:28" x14ac:dyDescent="0.25">
      <c r="A600" s="2" t="s">
        <v>28</v>
      </c>
      <c r="B600" s="2" t="s">
        <v>29</v>
      </c>
      <c r="C600" s="2" t="s">
        <v>640</v>
      </c>
      <c r="D600" s="2" t="s">
        <v>641</v>
      </c>
      <c r="E600" s="2" t="s">
        <v>35</v>
      </c>
      <c r="F600" s="2"/>
      <c r="G600" s="2" t="s">
        <v>36</v>
      </c>
      <c r="H600" s="3" t="s">
        <v>1040</v>
      </c>
      <c r="I600" s="3" t="s">
        <v>1041</v>
      </c>
      <c r="J600" s="3">
        <v>0</v>
      </c>
      <c r="K600" s="3" t="s">
        <v>1042</v>
      </c>
      <c r="L600" t="s">
        <v>1071</v>
      </c>
      <c r="M600" t="s">
        <v>1072</v>
      </c>
      <c r="N600" t="s">
        <v>1073</v>
      </c>
      <c r="O600" t="s">
        <v>1074</v>
      </c>
      <c r="P600" t="s">
        <v>1075</v>
      </c>
      <c r="Q600" t="s">
        <v>1076</v>
      </c>
      <c r="R600" t="s">
        <v>1077</v>
      </c>
      <c r="S600" t="s">
        <v>1078</v>
      </c>
      <c r="T600" t="s">
        <v>1079</v>
      </c>
      <c r="U600" t="s">
        <v>1080</v>
      </c>
      <c r="V600" t="s">
        <v>1081</v>
      </c>
      <c r="W600" t="s">
        <v>1082</v>
      </c>
      <c r="X600">
        <v>20240630</v>
      </c>
      <c r="Y600" t="s">
        <v>1083</v>
      </c>
      <c r="Z600" t="s">
        <v>1084</v>
      </c>
      <c r="AA600" s="11" t="str">
        <f t="shared" si="9"/>
        <v>EXEC [dbo].[BalanceGeneralInsertar] @Nivel ='Auxiliar',@Transaccional ='Sí',@CodigoCuentaContable ='53050502', @NombreCuentaContable ='GRAVAMEN DE MOVIMIENTO FINANCIERO ',@Identificacion ='890903938',@Sucursal ='',@NombreTercero ='Bancolombia',@SaldoInicial = 3061149.67,@MovimientoDebito = 101288.22,@MovimientoCredito =0,@SaldoFinal = 0,@Fecha ='20240630',@IdentificacionCliente = '901434038';</v>
      </c>
      <c r="AB600" t="s">
        <v>1085</v>
      </c>
    </row>
    <row r="601" spans="1:28" x14ac:dyDescent="0.25">
      <c r="A601" s="2" t="s">
        <v>28</v>
      </c>
      <c r="B601" s="2" t="s">
        <v>29</v>
      </c>
      <c r="C601" s="2" t="s">
        <v>640</v>
      </c>
      <c r="D601" s="2" t="s">
        <v>641</v>
      </c>
      <c r="E601" s="2" t="s">
        <v>125</v>
      </c>
      <c r="F601" s="2"/>
      <c r="G601" s="2" t="s">
        <v>126</v>
      </c>
      <c r="H601" s="3" t="s">
        <v>1043</v>
      </c>
      <c r="I601" s="3">
        <v>0</v>
      </c>
      <c r="J601" s="3">
        <v>0</v>
      </c>
      <c r="K601" s="3" t="s">
        <v>1043</v>
      </c>
      <c r="L601" t="s">
        <v>1071</v>
      </c>
      <c r="M601" t="s">
        <v>1072</v>
      </c>
      <c r="N601" t="s">
        <v>1073</v>
      </c>
      <c r="O601" t="s">
        <v>1074</v>
      </c>
      <c r="P601" t="s">
        <v>1075</v>
      </c>
      <c r="Q601" t="s">
        <v>1076</v>
      </c>
      <c r="R601" t="s">
        <v>1077</v>
      </c>
      <c r="S601" t="s">
        <v>1078</v>
      </c>
      <c r="T601" t="s">
        <v>1079</v>
      </c>
      <c r="U601" t="s">
        <v>1080</v>
      </c>
      <c r="V601" t="s">
        <v>1081</v>
      </c>
      <c r="W601" t="s">
        <v>1082</v>
      </c>
      <c r="X601">
        <v>20240630</v>
      </c>
      <c r="Y601" t="s">
        <v>1083</v>
      </c>
      <c r="Z601" t="s">
        <v>1084</v>
      </c>
      <c r="AA601" s="11" t="str">
        <f t="shared" si="9"/>
        <v>EXEC [dbo].[BalanceGeneralInsertar] @Nivel ='Auxiliar',@Transaccional ='Sí',@CodigoCuentaContable ='53050502', @NombreCuentaContable ='GRAVAMEN DE MOVIMIENTO FINANCIERO ',@Identificacion ='860003020',@Sucursal ='',@NombreTercero ='BBVA',@SaldoInicial = 12370.5,@MovimientoDebito = 0,@MovimientoCredito =0,@SaldoFinal = 0,@Fecha ='20240630',@IdentificacionCliente = '901434038';</v>
      </c>
      <c r="AB601" t="s">
        <v>1085</v>
      </c>
    </row>
    <row r="602" spans="1:28" x14ac:dyDescent="0.25">
      <c r="A602" s="2" t="s">
        <v>28</v>
      </c>
      <c r="B602" s="2" t="s">
        <v>29</v>
      </c>
      <c r="C602" s="2" t="s">
        <v>640</v>
      </c>
      <c r="D602" s="2" t="s">
        <v>641</v>
      </c>
      <c r="E602" s="2" t="s">
        <v>107</v>
      </c>
      <c r="F602" s="2"/>
      <c r="G602" s="2" t="s">
        <v>108</v>
      </c>
      <c r="H602" s="3">
        <v>175184</v>
      </c>
      <c r="I602" s="3">
        <v>0</v>
      </c>
      <c r="J602" s="3">
        <v>0</v>
      </c>
      <c r="K602" s="3">
        <v>175184</v>
      </c>
      <c r="L602" t="s">
        <v>1071</v>
      </c>
      <c r="M602" t="s">
        <v>1072</v>
      </c>
      <c r="N602" t="s">
        <v>1073</v>
      </c>
      <c r="O602" t="s">
        <v>1074</v>
      </c>
      <c r="P602" t="s">
        <v>1075</v>
      </c>
      <c r="Q602" t="s">
        <v>1076</v>
      </c>
      <c r="R602" t="s">
        <v>1077</v>
      </c>
      <c r="S602" t="s">
        <v>1078</v>
      </c>
      <c r="T602" t="s">
        <v>1079</v>
      </c>
      <c r="U602" t="s">
        <v>1080</v>
      </c>
      <c r="V602" t="s">
        <v>1081</v>
      </c>
      <c r="W602" t="s">
        <v>1082</v>
      </c>
      <c r="X602">
        <v>20240630</v>
      </c>
      <c r="Y602" t="s">
        <v>1083</v>
      </c>
      <c r="Z602" t="s">
        <v>1084</v>
      </c>
      <c r="AA602" s="11" t="str">
        <f t="shared" si="9"/>
        <v>EXEC [dbo].[BalanceGeneralInsertar] @Nivel ='Auxiliar',@Transaccional ='Sí',@CodigoCuentaContable ='53050502', @NombreCuentaContable ='GRAVAMEN DE MOVIMIENTO FINANCIERO ',@Identificacion ='860531315',@Sucursal ='',@NombreTercero ='ALIANZA FIDUCIARIA S.A.',@SaldoInicial = 175184,@MovimientoDebito = 0,@MovimientoCredito =0,@SaldoFinal = 0,@Fecha ='20240630',@IdentificacionCliente = '901434038';</v>
      </c>
      <c r="AB602" t="s">
        <v>1085</v>
      </c>
    </row>
    <row r="603" spans="1:28" x14ac:dyDescent="0.25">
      <c r="A603" s="2" t="s">
        <v>28</v>
      </c>
      <c r="B603" s="2" t="s">
        <v>29</v>
      </c>
      <c r="C603" s="2" t="s">
        <v>640</v>
      </c>
      <c r="D603" s="2" t="s">
        <v>641</v>
      </c>
      <c r="E603" s="2" t="s">
        <v>87</v>
      </c>
      <c r="F603" s="2"/>
      <c r="G603" s="2" t="s">
        <v>88</v>
      </c>
      <c r="H603" s="3">
        <v>1124514</v>
      </c>
      <c r="I603" s="3">
        <v>172449</v>
      </c>
      <c r="J603" s="3">
        <v>0</v>
      </c>
      <c r="K603" s="3">
        <v>1296963</v>
      </c>
      <c r="L603" t="s">
        <v>1071</v>
      </c>
      <c r="M603" t="s">
        <v>1072</v>
      </c>
      <c r="N603" t="s">
        <v>1073</v>
      </c>
      <c r="O603" t="s">
        <v>1074</v>
      </c>
      <c r="P603" t="s">
        <v>1075</v>
      </c>
      <c r="Q603" t="s">
        <v>1076</v>
      </c>
      <c r="R603" t="s">
        <v>1077</v>
      </c>
      <c r="S603" t="s">
        <v>1078</v>
      </c>
      <c r="T603" t="s">
        <v>1079</v>
      </c>
      <c r="U603" t="s">
        <v>1080</v>
      </c>
      <c r="V603" t="s">
        <v>1081</v>
      </c>
      <c r="W603" t="s">
        <v>1082</v>
      </c>
      <c r="X603">
        <v>20240630</v>
      </c>
      <c r="Y603" t="s">
        <v>1083</v>
      </c>
      <c r="Z603" t="s">
        <v>1084</v>
      </c>
      <c r="AA603" s="11" t="str">
        <f t="shared" si="9"/>
        <v>EXEC [dbo].[BalanceGeneralInsertar] @Nivel ='Auxiliar',@Transaccional ='Sí',@CodigoCuentaContable ='53050502', @NombreCuentaContable ='GRAVAMEN DE MOVIMIENTO FINANCIERO ',@Identificacion ='830054539',@Sucursal ='',@NombreTercero ='FIDUCIARIA BANCOLOMBIA S.A',@SaldoInicial = 1124514,@MovimientoDebito = 172449,@MovimientoCredito =0,@SaldoFinal = 0,@Fecha ='20240630',@IdentificacionCliente = '901434038';</v>
      </c>
      <c r="AB603" t="s">
        <v>1085</v>
      </c>
    </row>
    <row r="604" spans="1:28" x14ac:dyDescent="0.25">
      <c r="A604" s="2" t="s">
        <v>25</v>
      </c>
      <c r="B604" s="2" t="s">
        <v>16</v>
      </c>
      <c r="C604" s="2" t="s">
        <v>642</v>
      </c>
      <c r="D604" s="2" t="s">
        <v>379</v>
      </c>
      <c r="E604" s="2"/>
      <c r="F604" s="2"/>
      <c r="G604" s="2"/>
      <c r="H604" s="3" t="s">
        <v>1044</v>
      </c>
      <c r="I604" s="3">
        <v>10980</v>
      </c>
      <c r="J604" s="3">
        <v>0</v>
      </c>
      <c r="K604" s="3" t="s">
        <v>1045</v>
      </c>
      <c r="L604" t="s">
        <v>1071</v>
      </c>
      <c r="M604" t="s">
        <v>1072</v>
      </c>
      <c r="N604" t="s">
        <v>1073</v>
      </c>
      <c r="O604" t="s">
        <v>1074</v>
      </c>
      <c r="P604" t="s">
        <v>1075</v>
      </c>
      <c r="Q604" t="s">
        <v>1076</v>
      </c>
      <c r="R604" t="s">
        <v>1077</v>
      </c>
      <c r="S604" t="s">
        <v>1078</v>
      </c>
      <c r="T604" t="s">
        <v>1079</v>
      </c>
      <c r="U604" t="s">
        <v>1080</v>
      </c>
      <c r="V604" t="s">
        <v>1081</v>
      </c>
      <c r="W604" t="s">
        <v>1082</v>
      </c>
      <c r="X604">
        <v>20240630</v>
      </c>
      <c r="Y604" t="s">
        <v>1083</v>
      </c>
      <c r="Z604" t="s">
        <v>1084</v>
      </c>
      <c r="AA604" s="11" t="str">
        <f t="shared" si="9"/>
        <v>EXEC [dbo].[BalanceGeneralInsertar] @Nivel ='Subcuenta',@Transaccional ='No',@CodigoCuentaContable ='530515', @NombreCuentaContable ='Comisiones',@Identificacion ='',@Sucursal ='',@NombreTercero ='',@SaldoInicial = 323978.5,@MovimientoDebito = 10980,@MovimientoCredito =0,@SaldoFinal = 0,@Fecha ='20240630',@IdentificacionCliente = '901434038';</v>
      </c>
      <c r="AB604" t="s">
        <v>1085</v>
      </c>
    </row>
    <row r="605" spans="1:28" x14ac:dyDescent="0.25">
      <c r="A605" s="2" t="s">
        <v>28</v>
      </c>
      <c r="B605" s="2" t="s">
        <v>29</v>
      </c>
      <c r="C605" s="2" t="s">
        <v>643</v>
      </c>
      <c r="D605" s="2" t="s">
        <v>379</v>
      </c>
      <c r="E605" s="2" t="s">
        <v>35</v>
      </c>
      <c r="F605" s="2"/>
      <c r="G605" s="2" t="s">
        <v>36</v>
      </c>
      <c r="H605" s="3">
        <v>287968</v>
      </c>
      <c r="I605" s="3">
        <v>10980</v>
      </c>
      <c r="J605" s="3">
        <v>0</v>
      </c>
      <c r="K605" s="3">
        <v>298948</v>
      </c>
      <c r="L605" t="s">
        <v>1071</v>
      </c>
      <c r="M605" t="s">
        <v>1072</v>
      </c>
      <c r="N605" t="s">
        <v>1073</v>
      </c>
      <c r="O605" t="s">
        <v>1074</v>
      </c>
      <c r="P605" t="s">
        <v>1075</v>
      </c>
      <c r="Q605" t="s">
        <v>1076</v>
      </c>
      <c r="R605" t="s">
        <v>1077</v>
      </c>
      <c r="S605" t="s">
        <v>1078</v>
      </c>
      <c r="T605" t="s">
        <v>1079</v>
      </c>
      <c r="U605" t="s">
        <v>1080</v>
      </c>
      <c r="V605" t="s">
        <v>1081</v>
      </c>
      <c r="W605" t="s">
        <v>1082</v>
      </c>
      <c r="X605">
        <v>20240630</v>
      </c>
      <c r="Y605" t="s">
        <v>1083</v>
      </c>
      <c r="Z605" t="s">
        <v>1084</v>
      </c>
      <c r="AA605" s="11" t="str">
        <f t="shared" si="9"/>
        <v>EXEC [dbo].[BalanceGeneralInsertar] @Nivel ='Auxiliar',@Transaccional ='Sí',@CodigoCuentaContable ='53051501', @NombreCuentaContable ='Comisiones',@Identificacion ='890903938',@Sucursal ='',@NombreTercero ='Bancolombia',@SaldoInicial = 287968,@MovimientoDebito = 10980,@MovimientoCredito =0,@SaldoFinal = 0,@Fecha ='20240630',@IdentificacionCliente = '901434038';</v>
      </c>
      <c r="AB605" t="s">
        <v>1085</v>
      </c>
    </row>
    <row r="606" spans="1:28" x14ac:dyDescent="0.25">
      <c r="A606" s="2" t="s">
        <v>28</v>
      </c>
      <c r="B606" s="2" t="s">
        <v>29</v>
      </c>
      <c r="C606" s="2" t="s">
        <v>643</v>
      </c>
      <c r="D606" s="2" t="s">
        <v>379</v>
      </c>
      <c r="E606" s="2" t="s">
        <v>125</v>
      </c>
      <c r="F606" s="2"/>
      <c r="G606" s="2" t="s">
        <v>126</v>
      </c>
      <c r="H606" s="3" t="s">
        <v>1046</v>
      </c>
      <c r="I606" s="3">
        <v>0</v>
      </c>
      <c r="J606" s="3">
        <v>0</v>
      </c>
      <c r="K606" s="3" t="s">
        <v>1046</v>
      </c>
      <c r="L606" t="s">
        <v>1071</v>
      </c>
      <c r="M606" t="s">
        <v>1072</v>
      </c>
      <c r="N606" t="s">
        <v>1073</v>
      </c>
      <c r="O606" t="s">
        <v>1074</v>
      </c>
      <c r="P606" t="s">
        <v>1075</v>
      </c>
      <c r="Q606" t="s">
        <v>1076</v>
      </c>
      <c r="R606" t="s">
        <v>1077</v>
      </c>
      <c r="S606" t="s">
        <v>1078</v>
      </c>
      <c r="T606" t="s">
        <v>1079</v>
      </c>
      <c r="U606" t="s">
        <v>1080</v>
      </c>
      <c r="V606" t="s">
        <v>1081</v>
      </c>
      <c r="W606" t="s">
        <v>1082</v>
      </c>
      <c r="X606">
        <v>20240630</v>
      </c>
      <c r="Y606" t="s">
        <v>1083</v>
      </c>
      <c r="Z606" t="s">
        <v>1084</v>
      </c>
      <c r="AA606" s="11" t="str">
        <f t="shared" si="9"/>
        <v>EXEC [dbo].[BalanceGeneralInsertar] @Nivel ='Auxiliar',@Transaccional ='Sí',@CodigoCuentaContable ='53051501', @NombreCuentaContable ='Comisiones',@Identificacion ='860003020',@Sucursal ='',@NombreTercero ='BBVA',@SaldoInicial = 36010.5,@MovimientoDebito = 0,@MovimientoCredito =0,@SaldoFinal = 0,@Fecha ='20240630',@IdentificacionCliente = '901434038';</v>
      </c>
      <c r="AB606" t="s">
        <v>1085</v>
      </c>
    </row>
    <row r="607" spans="1:28" x14ac:dyDescent="0.25">
      <c r="A607" s="2" t="s">
        <v>25</v>
      </c>
      <c r="B607" s="2" t="s">
        <v>16</v>
      </c>
      <c r="C607" s="2" t="s">
        <v>644</v>
      </c>
      <c r="D607" s="2" t="s">
        <v>645</v>
      </c>
      <c r="E607" s="2"/>
      <c r="F607" s="2"/>
      <c r="G607" s="2"/>
      <c r="H607" s="3" t="s">
        <v>1047</v>
      </c>
      <c r="I607" s="3" t="s">
        <v>1048</v>
      </c>
      <c r="J607" s="3">
        <v>0</v>
      </c>
      <c r="K607" s="3" t="s">
        <v>1049</v>
      </c>
      <c r="L607" t="s">
        <v>1071</v>
      </c>
      <c r="M607" t="s">
        <v>1072</v>
      </c>
      <c r="N607" t="s">
        <v>1073</v>
      </c>
      <c r="O607" t="s">
        <v>1074</v>
      </c>
      <c r="P607" t="s">
        <v>1075</v>
      </c>
      <c r="Q607" t="s">
        <v>1076</v>
      </c>
      <c r="R607" t="s">
        <v>1077</v>
      </c>
      <c r="S607" t="s">
        <v>1078</v>
      </c>
      <c r="T607" t="s">
        <v>1079</v>
      </c>
      <c r="U607" t="s">
        <v>1080</v>
      </c>
      <c r="V607" t="s">
        <v>1081</v>
      </c>
      <c r="W607" t="s">
        <v>1082</v>
      </c>
      <c r="X607">
        <v>20240630</v>
      </c>
      <c r="Y607" t="s">
        <v>1083</v>
      </c>
      <c r="Z607" t="s">
        <v>1084</v>
      </c>
      <c r="AA607" s="11" t="str">
        <f t="shared" si="9"/>
        <v>EXEC [dbo].[BalanceGeneralInsertar] @Nivel ='Subcuenta',@Transaccional ='No',@CodigoCuentaContable ='530520', @NombreCuentaContable ='Intereses',@Identificacion ='',@Sucursal ='',@NombreTercero ='',@SaldoInicial = 47283604.77,@MovimientoDebito = 7561655.52,@MovimientoCredito =0,@SaldoFinal = 0,@Fecha ='20240630',@IdentificacionCliente = '901434038';</v>
      </c>
      <c r="AB607" t="s">
        <v>1085</v>
      </c>
    </row>
    <row r="608" spans="1:28" x14ac:dyDescent="0.25">
      <c r="A608" s="2" t="s">
        <v>28</v>
      </c>
      <c r="B608" s="2" t="s">
        <v>29</v>
      </c>
      <c r="C608" s="2" t="s">
        <v>646</v>
      </c>
      <c r="D608" s="2" t="s">
        <v>647</v>
      </c>
      <c r="E608" s="2" t="s">
        <v>35</v>
      </c>
      <c r="F608" s="2"/>
      <c r="G608" s="2" t="s">
        <v>36</v>
      </c>
      <c r="H608" s="3">
        <v>44398962</v>
      </c>
      <c r="I608" s="3" t="s">
        <v>1048</v>
      </c>
      <c r="J608" s="3">
        <v>0</v>
      </c>
      <c r="K608" s="3" t="s">
        <v>1050</v>
      </c>
      <c r="L608" t="s">
        <v>1071</v>
      </c>
      <c r="M608" t="s">
        <v>1072</v>
      </c>
      <c r="N608" t="s">
        <v>1073</v>
      </c>
      <c r="O608" t="s">
        <v>1074</v>
      </c>
      <c r="P608" t="s">
        <v>1075</v>
      </c>
      <c r="Q608" t="s">
        <v>1076</v>
      </c>
      <c r="R608" t="s">
        <v>1077</v>
      </c>
      <c r="S608" t="s">
        <v>1078</v>
      </c>
      <c r="T608" t="s">
        <v>1079</v>
      </c>
      <c r="U608" t="s">
        <v>1080</v>
      </c>
      <c r="V608" t="s">
        <v>1081</v>
      </c>
      <c r="W608" t="s">
        <v>1082</v>
      </c>
      <c r="X608">
        <v>20240630</v>
      </c>
      <c r="Y608" t="s">
        <v>1083</v>
      </c>
      <c r="Z608" t="s">
        <v>1084</v>
      </c>
      <c r="AA608" s="11" t="str">
        <f t="shared" si="9"/>
        <v>EXEC [dbo].[BalanceGeneralInsertar] @Nivel ='Auxiliar',@Transaccional ='Sí',@CodigoCuentaContable ='53052001', @NombreCuentaContable ='Intereses corrientes',@Identificacion ='890903938',@Sucursal ='',@NombreTercero ='Bancolombia',@SaldoInicial = 44398962,@MovimientoDebito = 7561655.52,@MovimientoCredito =0,@SaldoFinal = 0,@Fecha ='20240630',@IdentificacionCliente = '901434038';</v>
      </c>
      <c r="AB608" t="s">
        <v>1085</v>
      </c>
    </row>
    <row r="609" spans="1:28" x14ac:dyDescent="0.25">
      <c r="A609" s="2" t="s">
        <v>28</v>
      </c>
      <c r="B609" s="2" t="s">
        <v>29</v>
      </c>
      <c r="C609" s="2" t="s">
        <v>646</v>
      </c>
      <c r="D609" s="2" t="s">
        <v>647</v>
      </c>
      <c r="E609" s="2" t="s">
        <v>39</v>
      </c>
      <c r="F609" s="2"/>
      <c r="G609" s="2" t="s">
        <v>40</v>
      </c>
      <c r="H609" s="3">
        <v>1898000</v>
      </c>
      <c r="I609" s="3">
        <v>0</v>
      </c>
      <c r="J609" s="3">
        <v>0</v>
      </c>
      <c r="K609" s="3">
        <v>1898000</v>
      </c>
      <c r="L609" t="s">
        <v>1071</v>
      </c>
      <c r="M609" t="s">
        <v>1072</v>
      </c>
      <c r="N609" t="s">
        <v>1073</v>
      </c>
      <c r="O609" t="s">
        <v>1074</v>
      </c>
      <c r="P609" t="s">
        <v>1075</v>
      </c>
      <c r="Q609" t="s">
        <v>1076</v>
      </c>
      <c r="R609" t="s">
        <v>1077</v>
      </c>
      <c r="S609" t="s">
        <v>1078</v>
      </c>
      <c r="T609" t="s">
        <v>1079</v>
      </c>
      <c r="U609" t="s">
        <v>1080</v>
      </c>
      <c r="V609" t="s">
        <v>1081</v>
      </c>
      <c r="W609" t="s">
        <v>1082</v>
      </c>
      <c r="X609">
        <v>20240630</v>
      </c>
      <c r="Y609" t="s">
        <v>1083</v>
      </c>
      <c r="Z609" t="s">
        <v>1084</v>
      </c>
      <c r="AA609" s="11" t="str">
        <f t="shared" si="9"/>
        <v>EXEC [dbo].[BalanceGeneralInsertar] @Nivel ='Auxiliar',@Transaccional ='Sí',@CodigoCuentaContable ='53052001', @NombreCuentaContable ='Intereses corrientes',@Identificacion ='800197268',@Sucursal ='',@NombreTercero ='DIAN',@SaldoInicial = 1898000,@MovimientoDebito = 0,@MovimientoCredito =0,@SaldoFinal = 0,@Fecha ='20240630',@IdentificacionCliente = '901434038';</v>
      </c>
      <c r="AB609" t="s">
        <v>1085</v>
      </c>
    </row>
    <row r="610" spans="1:28" x14ac:dyDescent="0.25">
      <c r="A610" s="2" t="s">
        <v>28</v>
      </c>
      <c r="B610" s="2" t="s">
        <v>29</v>
      </c>
      <c r="C610" s="2" t="s">
        <v>646</v>
      </c>
      <c r="D610" s="2" t="s">
        <v>647</v>
      </c>
      <c r="E610" s="2" t="s">
        <v>87</v>
      </c>
      <c r="F610" s="2"/>
      <c r="G610" s="2" t="s">
        <v>88</v>
      </c>
      <c r="H610" s="3">
        <v>983600</v>
      </c>
      <c r="I610" s="3">
        <v>0</v>
      </c>
      <c r="J610" s="3">
        <v>0</v>
      </c>
      <c r="K610" s="3">
        <v>983600</v>
      </c>
      <c r="L610" t="s">
        <v>1071</v>
      </c>
      <c r="M610" t="s">
        <v>1072</v>
      </c>
      <c r="N610" t="s">
        <v>1073</v>
      </c>
      <c r="O610" t="s">
        <v>1074</v>
      </c>
      <c r="P610" t="s">
        <v>1075</v>
      </c>
      <c r="Q610" t="s">
        <v>1076</v>
      </c>
      <c r="R610" t="s">
        <v>1077</v>
      </c>
      <c r="S610" t="s">
        <v>1078</v>
      </c>
      <c r="T610" t="s">
        <v>1079</v>
      </c>
      <c r="U610" t="s">
        <v>1080</v>
      </c>
      <c r="V610" t="s">
        <v>1081</v>
      </c>
      <c r="W610" t="s">
        <v>1082</v>
      </c>
      <c r="X610">
        <v>20240630</v>
      </c>
      <c r="Y610" t="s">
        <v>1083</v>
      </c>
      <c r="Z610" t="s">
        <v>1084</v>
      </c>
      <c r="AA610" s="11" t="str">
        <f t="shared" si="9"/>
        <v>EXEC [dbo].[BalanceGeneralInsertar] @Nivel ='Auxiliar',@Transaccional ='Sí',@CodigoCuentaContable ='53052001', @NombreCuentaContable ='Intereses corrientes',@Identificacion ='830054539',@Sucursal ='',@NombreTercero ='FIDUCIARIA BANCOLOMBIA S.A',@SaldoInicial = 983600,@MovimientoDebito = 0,@MovimientoCredito =0,@SaldoFinal = 0,@Fecha ='20240630',@IdentificacionCliente = '901434038';</v>
      </c>
      <c r="AB610" t="s">
        <v>1085</v>
      </c>
    </row>
    <row r="611" spans="1:28" x14ac:dyDescent="0.25">
      <c r="A611" s="2" t="s">
        <v>28</v>
      </c>
      <c r="B611" s="2" t="s">
        <v>29</v>
      </c>
      <c r="C611" s="2" t="s">
        <v>646</v>
      </c>
      <c r="D611" s="2" t="s">
        <v>647</v>
      </c>
      <c r="E611" s="2" t="s">
        <v>61</v>
      </c>
      <c r="F611" s="2"/>
      <c r="G611" s="2" t="s">
        <v>62</v>
      </c>
      <c r="H611" s="3" t="s">
        <v>1051</v>
      </c>
      <c r="I611" s="3">
        <v>0</v>
      </c>
      <c r="J611" s="3">
        <v>0</v>
      </c>
      <c r="K611" s="3" t="s">
        <v>1051</v>
      </c>
      <c r="L611" t="s">
        <v>1071</v>
      </c>
      <c r="M611" t="s">
        <v>1072</v>
      </c>
      <c r="N611" t="s">
        <v>1073</v>
      </c>
      <c r="O611" t="s">
        <v>1074</v>
      </c>
      <c r="P611" t="s">
        <v>1075</v>
      </c>
      <c r="Q611" t="s">
        <v>1076</v>
      </c>
      <c r="R611" t="s">
        <v>1077</v>
      </c>
      <c r="S611" t="s">
        <v>1078</v>
      </c>
      <c r="T611" t="s">
        <v>1079</v>
      </c>
      <c r="U611" t="s">
        <v>1080</v>
      </c>
      <c r="V611" t="s">
        <v>1081</v>
      </c>
      <c r="W611" t="s">
        <v>1082</v>
      </c>
      <c r="X611">
        <v>20240630</v>
      </c>
      <c r="Y611" t="s">
        <v>1083</v>
      </c>
      <c r="Z611" t="s">
        <v>1084</v>
      </c>
      <c r="AA611" s="11" t="str">
        <f t="shared" si="9"/>
        <v>EXEC [dbo].[BalanceGeneralInsertar] @Nivel ='Auxiliar',@Transaccional ='Sí',@CodigoCuentaContable ='53052001', @NombreCuentaContable ='Intereses corrientes',@Identificacion ='900995954',@Sucursal ='',@NombreTercero ='SEMPLI S.A.S.',@SaldoInicial = 3042.77,@MovimientoDebito = 0,@MovimientoCredito =0,@SaldoFinal = 0,@Fecha ='20240630',@IdentificacionCliente = '901434038';</v>
      </c>
      <c r="AB611" t="s">
        <v>1085</v>
      </c>
    </row>
    <row r="612" spans="1:28" x14ac:dyDescent="0.25">
      <c r="A612" s="2" t="s">
        <v>22</v>
      </c>
      <c r="B612" s="2" t="s">
        <v>16</v>
      </c>
      <c r="C612" s="2" t="s">
        <v>648</v>
      </c>
      <c r="D612" s="2" t="s">
        <v>649</v>
      </c>
      <c r="E612" s="2"/>
      <c r="F612" s="2"/>
      <c r="G612" s="2"/>
      <c r="H612" s="3" t="s">
        <v>1052</v>
      </c>
      <c r="I612" s="3" t="s">
        <v>1053</v>
      </c>
      <c r="J612" s="3">
        <v>0</v>
      </c>
      <c r="K612" s="3" t="s">
        <v>1054</v>
      </c>
      <c r="L612" t="s">
        <v>1071</v>
      </c>
      <c r="M612" t="s">
        <v>1072</v>
      </c>
      <c r="N612" t="s">
        <v>1073</v>
      </c>
      <c r="O612" t="s">
        <v>1074</v>
      </c>
      <c r="P612" t="s">
        <v>1075</v>
      </c>
      <c r="Q612" t="s">
        <v>1076</v>
      </c>
      <c r="R612" t="s">
        <v>1077</v>
      </c>
      <c r="S612" t="s">
        <v>1078</v>
      </c>
      <c r="T612" t="s">
        <v>1079</v>
      </c>
      <c r="U612" t="s">
        <v>1080</v>
      </c>
      <c r="V612" t="s">
        <v>1081</v>
      </c>
      <c r="W612" t="s">
        <v>1082</v>
      </c>
      <c r="X612">
        <v>20240630</v>
      </c>
      <c r="Y612" t="s">
        <v>1083</v>
      </c>
      <c r="Z612" t="s">
        <v>1084</v>
      </c>
      <c r="AA612" s="11" t="str">
        <f t="shared" si="9"/>
        <v>EXEC [dbo].[BalanceGeneralInsertar] @Nivel ='Cuenta',@Transaccional ='No',@CodigoCuentaContable ='5395', @NombreCuentaContable ='Gastos diversos',@Identificacion ='',@Sucursal ='',@NombreTercero ='',@SaldoInicial = 201836.51,@MovimientoDebito = 32619.84,@MovimientoCredito =0,@SaldoFinal = 0,@Fecha ='20240630',@IdentificacionCliente = '901434038';</v>
      </c>
      <c r="AB612" t="s">
        <v>1085</v>
      </c>
    </row>
    <row r="613" spans="1:28" x14ac:dyDescent="0.25">
      <c r="A613" s="2" t="s">
        <v>25</v>
      </c>
      <c r="B613" s="2" t="s">
        <v>16</v>
      </c>
      <c r="C613" s="2" t="s">
        <v>650</v>
      </c>
      <c r="D613" s="2" t="s">
        <v>554</v>
      </c>
      <c r="E613" s="2"/>
      <c r="F613" s="2"/>
      <c r="G613" s="2"/>
      <c r="H613" s="3" t="s">
        <v>1055</v>
      </c>
      <c r="I613" s="3" t="s">
        <v>1056</v>
      </c>
      <c r="J613" s="3">
        <v>0</v>
      </c>
      <c r="K613" s="3" t="s">
        <v>1057</v>
      </c>
      <c r="L613" t="s">
        <v>1071</v>
      </c>
      <c r="M613" t="s">
        <v>1072</v>
      </c>
      <c r="N613" t="s">
        <v>1073</v>
      </c>
      <c r="O613" t="s">
        <v>1074</v>
      </c>
      <c r="P613" t="s">
        <v>1075</v>
      </c>
      <c r="Q613" t="s">
        <v>1076</v>
      </c>
      <c r="R613" t="s">
        <v>1077</v>
      </c>
      <c r="S613" t="s">
        <v>1078</v>
      </c>
      <c r="T613" t="s">
        <v>1079</v>
      </c>
      <c r="U613" t="s">
        <v>1080</v>
      </c>
      <c r="V613" t="s">
        <v>1081</v>
      </c>
      <c r="W613" t="s">
        <v>1082</v>
      </c>
      <c r="X613">
        <v>20240630</v>
      </c>
      <c r="Y613" t="s">
        <v>1083</v>
      </c>
      <c r="Z613" t="s">
        <v>1084</v>
      </c>
      <c r="AA613" s="11" t="str">
        <f t="shared" si="9"/>
        <v>EXEC [dbo].[BalanceGeneralInsertar] @Nivel ='Subcuenta',@Transaccional ='No',@CodigoCuentaContable ='539581', @NombreCuentaContable ='Ajuste al peso',@Identificacion ='',@Sucursal ='',@NombreTercero ='',@SaldoInicial = 3349.76,@MovimientoDebito = 162.84,@MovimientoCredito =0,@SaldoFinal = 0,@Fecha ='20240630',@IdentificacionCliente = '901434038';</v>
      </c>
      <c r="AB613" t="s">
        <v>1085</v>
      </c>
    </row>
    <row r="614" spans="1:28" x14ac:dyDescent="0.25">
      <c r="A614" s="2" t="s">
        <v>28</v>
      </c>
      <c r="B614" s="2" t="s">
        <v>29</v>
      </c>
      <c r="C614" s="2" t="s">
        <v>651</v>
      </c>
      <c r="D614" s="2" t="s">
        <v>554</v>
      </c>
      <c r="E614" s="2" t="s">
        <v>111</v>
      </c>
      <c r="F614" s="2"/>
      <c r="G614" s="2" t="s">
        <v>112</v>
      </c>
      <c r="H614" s="3" t="s">
        <v>1058</v>
      </c>
      <c r="I614" s="3">
        <v>0</v>
      </c>
      <c r="J614" s="3">
        <v>0</v>
      </c>
      <c r="K614" s="3" t="s">
        <v>1058</v>
      </c>
      <c r="L614" t="s">
        <v>1071</v>
      </c>
      <c r="M614" t="s">
        <v>1072</v>
      </c>
      <c r="N614" t="s">
        <v>1073</v>
      </c>
      <c r="O614" t="s">
        <v>1074</v>
      </c>
      <c r="P614" t="s">
        <v>1075</v>
      </c>
      <c r="Q614" t="s">
        <v>1076</v>
      </c>
      <c r="R614" t="s">
        <v>1077</v>
      </c>
      <c r="S614" t="s">
        <v>1078</v>
      </c>
      <c r="T614" t="s">
        <v>1079</v>
      </c>
      <c r="U614" t="s">
        <v>1080</v>
      </c>
      <c r="V614" t="s">
        <v>1081</v>
      </c>
      <c r="W614" t="s">
        <v>1082</v>
      </c>
      <c r="X614">
        <v>20240630</v>
      </c>
      <c r="Y614" t="s">
        <v>1083</v>
      </c>
      <c r="Z614" t="s">
        <v>1084</v>
      </c>
      <c r="AA614" s="11" t="str">
        <f t="shared" si="9"/>
        <v>EXEC [dbo].[BalanceGeneralInsertar] @Nivel ='Auxiliar',@Transaccional ='Sí',@CodigoCuentaContable ='53958101', @NombreCuentaContable ='Ajuste al peso',@Identificacion ='860066942',@Sucursal ='',@NombreTercero ='Compensar',@SaldoInicial = 3348.5,@MovimientoDebito = 0,@MovimientoCredito =0,@SaldoFinal = 0,@Fecha ='20240630',@IdentificacionCliente = '901434038';</v>
      </c>
      <c r="AB614" t="s">
        <v>1085</v>
      </c>
    </row>
    <row r="615" spans="1:28" x14ac:dyDescent="0.25">
      <c r="A615" s="2" t="s">
        <v>28</v>
      </c>
      <c r="B615" s="2" t="s">
        <v>29</v>
      </c>
      <c r="C615" s="2" t="s">
        <v>651</v>
      </c>
      <c r="D615" s="2" t="s">
        <v>554</v>
      </c>
      <c r="E615" s="2" t="s">
        <v>99</v>
      </c>
      <c r="F615" s="2"/>
      <c r="G615" s="2" t="s">
        <v>100</v>
      </c>
      <c r="H615" s="3">
        <v>0</v>
      </c>
      <c r="I615" s="3" t="s">
        <v>1059</v>
      </c>
      <c r="J615" s="3">
        <v>0</v>
      </c>
      <c r="K615" s="3" t="s">
        <v>1059</v>
      </c>
      <c r="L615" t="s">
        <v>1071</v>
      </c>
      <c r="M615" t="s">
        <v>1072</v>
      </c>
      <c r="N615" t="s">
        <v>1073</v>
      </c>
      <c r="O615" t="s">
        <v>1074</v>
      </c>
      <c r="P615" t="s">
        <v>1075</v>
      </c>
      <c r="Q615" t="s">
        <v>1076</v>
      </c>
      <c r="R615" t="s">
        <v>1077</v>
      </c>
      <c r="S615" t="s">
        <v>1078</v>
      </c>
      <c r="T615" t="s">
        <v>1079</v>
      </c>
      <c r="U615" t="s">
        <v>1080</v>
      </c>
      <c r="V615" t="s">
        <v>1081</v>
      </c>
      <c r="W615" t="s">
        <v>1082</v>
      </c>
      <c r="X615">
        <v>20240630</v>
      </c>
      <c r="Y615" t="s">
        <v>1083</v>
      </c>
      <c r="Z615" t="s">
        <v>1084</v>
      </c>
      <c r="AA615" s="11" t="str">
        <f t="shared" si="9"/>
        <v>EXEC [dbo].[BalanceGeneralInsertar] @Nivel ='Auxiliar',@Transaccional ='Sí',@CodigoCuentaContable ='53958101', @NombreCuentaContable ='Ajuste al peso',@Identificacion ='900397663',@Sucursal ='',@NombreTercero ='BTL COLOMBIA SAS',@SaldoInicial = 0,@MovimientoDebito = 0.08,@MovimientoCredito =0,@SaldoFinal = 0,@Fecha ='20240630',@IdentificacionCliente = '901434038';</v>
      </c>
      <c r="AB615" t="s">
        <v>1085</v>
      </c>
    </row>
    <row r="616" spans="1:28" x14ac:dyDescent="0.25">
      <c r="A616" s="2" t="s">
        <v>28</v>
      </c>
      <c r="B616" s="2" t="s">
        <v>29</v>
      </c>
      <c r="C616" s="2" t="s">
        <v>651</v>
      </c>
      <c r="D616" s="2" t="s">
        <v>554</v>
      </c>
      <c r="E616" s="2" t="s">
        <v>79</v>
      </c>
      <c r="F616" s="2"/>
      <c r="G616" s="2" t="s">
        <v>80</v>
      </c>
      <c r="H616" s="3" t="s">
        <v>1060</v>
      </c>
      <c r="I616" s="3">
        <v>0</v>
      </c>
      <c r="J616" s="3">
        <v>0</v>
      </c>
      <c r="K616" s="3" t="s">
        <v>1060</v>
      </c>
      <c r="L616" t="s">
        <v>1071</v>
      </c>
      <c r="M616" t="s">
        <v>1072</v>
      </c>
      <c r="N616" t="s">
        <v>1073</v>
      </c>
      <c r="O616" t="s">
        <v>1074</v>
      </c>
      <c r="P616" t="s">
        <v>1075</v>
      </c>
      <c r="Q616" t="s">
        <v>1076</v>
      </c>
      <c r="R616" t="s">
        <v>1077</v>
      </c>
      <c r="S616" t="s">
        <v>1078</v>
      </c>
      <c r="T616" t="s">
        <v>1079</v>
      </c>
      <c r="U616" t="s">
        <v>1080</v>
      </c>
      <c r="V616" t="s">
        <v>1081</v>
      </c>
      <c r="W616" t="s">
        <v>1082</v>
      </c>
      <c r="X616">
        <v>20240630</v>
      </c>
      <c r="Y616" t="s">
        <v>1083</v>
      </c>
      <c r="Z616" t="s">
        <v>1084</v>
      </c>
      <c r="AA616" s="11" t="str">
        <f t="shared" si="9"/>
        <v>EXEC [dbo].[BalanceGeneralInsertar] @Nivel ='Auxiliar',@Transaccional ='Sí',@CodigoCuentaContable ='53958101', @NombreCuentaContable ='Ajuste al peso',@Identificacion ='901456421',@Sucursal ='',@NombreTercero ='DELUXE ORIENTE S.A.S',@SaldoInicial = 0.7,@MovimientoDebito = 0,@MovimientoCredito =0,@SaldoFinal = 0,@Fecha ='20240630',@IdentificacionCliente = '901434038';</v>
      </c>
      <c r="AB616" t="s">
        <v>1085</v>
      </c>
    </row>
    <row r="617" spans="1:28" x14ac:dyDescent="0.25">
      <c r="A617" s="2" t="s">
        <v>28</v>
      </c>
      <c r="B617" s="2" t="s">
        <v>29</v>
      </c>
      <c r="C617" s="2" t="s">
        <v>651</v>
      </c>
      <c r="D617" s="2" t="s">
        <v>554</v>
      </c>
      <c r="E617" s="2" t="s">
        <v>141</v>
      </c>
      <c r="F617" s="2"/>
      <c r="G617" s="2" t="s">
        <v>142</v>
      </c>
      <c r="H617" s="3" t="s">
        <v>1061</v>
      </c>
      <c r="I617" s="3">
        <v>0</v>
      </c>
      <c r="J617" s="3">
        <v>0</v>
      </c>
      <c r="K617" s="3" t="s">
        <v>1061</v>
      </c>
      <c r="L617" t="s">
        <v>1071</v>
      </c>
      <c r="M617" t="s">
        <v>1072</v>
      </c>
      <c r="N617" t="s">
        <v>1073</v>
      </c>
      <c r="O617" t="s">
        <v>1074</v>
      </c>
      <c r="P617" t="s">
        <v>1075</v>
      </c>
      <c r="Q617" t="s">
        <v>1076</v>
      </c>
      <c r="R617" t="s">
        <v>1077</v>
      </c>
      <c r="S617" t="s">
        <v>1078</v>
      </c>
      <c r="T617" t="s">
        <v>1079</v>
      </c>
      <c r="U617" t="s">
        <v>1080</v>
      </c>
      <c r="V617" t="s">
        <v>1081</v>
      </c>
      <c r="W617" t="s">
        <v>1082</v>
      </c>
      <c r="X617">
        <v>20240630</v>
      </c>
      <c r="Y617" t="s">
        <v>1083</v>
      </c>
      <c r="Z617" t="s">
        <v>1084</v>
      </c>
      <c r="AA617" s="11" t="str">
        <f t="shared" si="9"/>
        <v>EXEC [dbo].[BalanceGeneralInsertar] @Nivel ='Auxiliar',@Transaccional ='Sí',@CodigoCuentaContable ='53958101', @NombreCuentaContable ='Ajuste al peso',@Identificacion ='901451874',@Sucursal ='',@NombreTercero ='CABARCAS GROUP S.A.S.',@SaldoInicial = 0.16,@MovimientoDebito = 0,@MovimientoCredito =0,@SaldoFinal = 0,@Fecha ='20240630',@IdentificacionCliente = '901434038';</v>
      </c>
      <c r="AB617" t="s">
        <v>1085</v>
      </c>
    </row>
    <row r="618" spans="1:28" x14ac:dyDescent="0.25">
      <c r="A618" s="2" t="s">
        <v>28</v>
      </c>
      <c r="B618" s="2" t="s">
        <v>29</v>
      </c>
      <c r="C618" s="2" t="s">
        <v>651</v>
      </c>
      <c r="D618" s="2" t="s">
        <v>554</v>
      </c>
      <c r="E618" s="2" t="s">
        <v>67</v>
      </c>
      <c r="F618" s="2"/>
      <c r="G618" s="2" t="s">
        <v>68</v>
      </c>
      <c r="H618" s="3" t="s">
        <v>1062</v>
      </c>
      <c r="I618" s="3" t="s">
        <v>1062</v>
      </c>
      <c r="J618" s="3">
        <v>0</v>
      </c>
      <c r="K618" s="3" t="s">
        <v>1063</v>
      </c>
      <c r="L618" t="s">
        <v>1071</v>
      </c>
      <c r="M618" t="s">
        <v>1072</v>
      </c>
      <c r="N618" t="s">
        <v>1073</v>
      </c>
      <c r="O618" t="s">
        <v>1074</v>
      </c>
      <c r="P618" t="s">
        <v>1075</v>
      </c>
      <c r="Q618" t="s">
        <v>1076</v>
      </c>
      <c r="R618" t="s">
        <v>1077</v>
      </c>
      <c r="S618" t="s">
        <v>1078</v>
      </c>
      <c r="T618" t="s">
        <v>1079</v>
      </c>
      <c r="U618" t="s">
        <v>1080</v>
      </c>
      <c r="V618" t="s">
        <v>1081</v>
      </c>
      <c r="W618" t="s">
        <v>1082</v>
      </c>
      <c r="X618">
        <v>20240630</v>
      </c>
      <c r="Y618" t="s">
        <v>1083</v>
      </c>
      <c r="Z618" t="s">
        <v>1084</v>
      </c>
      <c r="AA618" s="11" t="str">
        <f t="shared" si="9"/>
        <v>EXEC [dbo].[BalanceGeneralInsertar] @Nivel ='Auxiliar',@Transaccional ='Sí',@CodigoCuentaContable ='53958101', @NombreCuentaContable ='Ajuste al peso',@Identificacion ='805020770',@Sucursal ='',@NombreTercero ='EUTOESTETICA SAS',@SaldoInicial = 0.15,@MovimientoDebito = 0.15,@MovimientoCredito =0,@SaldoFinal = 0,@Fecha ='20240630',@IdentificacionCliente = '901434038';</v>
      </c>
      <c r="AB618" t="s">
        <v>1085</v>
      </c>
    </row>
    <row r="619" spans="1:28" x14ac:dyDescent="0.25">
      <c r="A619" s="2" t="s">
        <v>28</v>
      </c>
      <c r="B619" s="2" t="s">
        <v>29</v>
      </c>
      <c r="C619" s="2" t="s">
        <v>651</v>
      </c>
      <c r="D619" s="2" t="s">
        <v>554</v>
      </c>
      <c r="E619" s="2" t="s">
        <v>71</v>
      </c>
      <c r="F619" s="2"/>
      <c r="G619" s="2" t="s">
        <v>72</v>
      </c>
      <c r="H619" s="3" t="s">
        <v>1064</v>
      </c>
      <c r="I619" s="3" t="s">
        <v>1065</v>
      </c>
      <c r="J619" s="3">
        <v>0</v>
      </c>
      <c r="K619" s="3" t="s">
        <v>1066</v>
      </c>
      <c r="L619" t="s">
        <v>1071</v>
      </c>
      <c r="M619" t="s">
        <v>1072</v>
      </c>
      <c r="N619" t="s">
        <v>1073</v>
      </c>
      <c r="O619" t="s">
        <v>1074</v>
      </c>
      <c r="P619" t="s">
        <v>1075</v>
      </c>
      <c r="Q619" t="s">
        <v>1076</v>
      </c>
      <c r="R619" t="s">
        <v>1077</v>
      </c>
      <c r="S619" t="s">
        <v>1078</v>
      </c>
      <c r="T619" t="s">
        <v>1079</v>
      </c>
      <c r="U619" t="s">
        <v>1080</v>
      </c>
      <c r="V619" t="s">
        <v>1081</v>
      </c>
      <c r="W619" t="s">
        <v>1082</v>
      </c>
      <c r="X619">
        <v>20240630</v>
      </c>
      <c r="Y619" t="s">
        <v>1083</v>
      </c>
      <c r="Z619" t="s">
        <v>1084</v>
      </c>
      <c r="AA619" s="11" t="str">
        <f t="shared" si="9"/>
        <v>EXEC [dbo].[BalanceGeneralInsertar] @Nivel ='Auxiliar',@Transaccional ='Sí',@CodigoCuentaContable ='53958101', @NombreCuentaContable ='Ajuste al peso',@Identificacion ='901477526',@Sucursal ='',@NombreTercero ='SABANA MEDICAL SPA SAS',@SaldoInicial = 0.25,@MovimientoDebito = 162.61,@MovimientoCredito =0,@SaldoFinal = 0,@Fecha ='20240630',@IdentificacionCliente = '901434038';</v>
      </c>
      <c r="AB619" t="s">
        <v>1085</v>
      </c>
    </row>
    <row r="620" spans="1:28" x14ac:dyDescent="0.25">
      <c r="A620" s="2" t="s">
        <v>25</v>
      </c>
      <c r="B620" s="2" t="s">
        <v>16</v>
      </c>
      <c r="C620" s="2" t="s">
        <v>652</v>
      </c>
      <c r="D620" s="2" t="s">
        <v>212</v>
      </c>
      <c r="E620" s="2"/>
      <c r="F620" s="2"/>
      <c r="G620" s="2"/>
      <c r="H620" s="3" t="s">
        <v>1067</v>
      </c>
      <c r="I620" s="3">
        <v>32457</v>
      </c>
      <c r="J620" s="3">
        <v>0</v>
      </c>
      <c r="K620" s="3" t="s">
        <v>1068</v>
      </c>
      <c r="L620" t="s">
        <v>1071</v>
      </c>
      <c r="M620" t="s">
        <v>1072</v>
      </c>
      <c r="N620" t="s">
        <v>1073</v>
      </c>
      <c r="O620" t="s">
        <v>1074</v>
      </c>
      <c r="P620" t="s">
        <v>1075</v>
      </c>
      <c r="Q620" t="s">
        <v>1076</v>
      </c>
      <c r="R620" t="s">
        <v>1077</v>
      </c>
      <c r="S620" t="s">
        <v>1078</v>
      </c>
      <c r="T620" t="s">
        <v>1079</v>
      </c>
      <c r="U620" t="s">
        <v>1080</v>
      </c>
      <c r="V620" t="s">
        <v>1081</v>
      </c>
      <c r="W620" t="s">
        <v>1082</v>
      </c>
      <c r="X620">
        <v>20240630</v>
      </c>
      <c r="Y620" t="s">
        <v>1083</v>
      </c>
      <c r="Z620" t="s">
        <v>1084</v>
      </c>
      <c r="AA620" s="11" t="str">
        <f t="shared" si="9"/>
        <v>EXEC [dbo].[BalanceGeneralInsertar] @Nivel ='Subcuenta',@Transaccional ='No',@CodigoCuentaContable ='539595', @NombreCuentaContable ='Otros',@Identificacion ='',@Sucursal ='',@NombreTercero ='',@SaldoInicial = 198486.75,@MovimientoDebito = 32457,@MovimientoCredito =0,@SaldoFinal = 0,@Fecha ='20240630',@IdentificacionCliente = '901434038';</v>
      </c>
      <c r="AB620" t="s">
        <v>1085</v>
      </c>
    </row>
    <row r="621" spans="1:28" x14ac:dyDescent="0.25">
      <c r="A621" s="2" t="s">
        <v>28</v>
      </c>
      <c r="B621" s="2" t="s">
        <v>29</v>
      </c>
      <c r="C621" s="2" t="s">
        <v>653</v>
      </c>
      <c r="D621" s="2" t="s">
        <v>654</v>
      </c>
      <c r="E621" s="2" t="s">
        <v>35</v>
      </c>
      <c r="F621" s="2"/>
      <c r="G621" s="2" t="s">
        <v>36</v>
      </c>
      <c r="H621" s="3">
        <v>0</v>
      </c>
      <c r="I621" s="3">
        <v>4457</v>
      </c>
      <c r="J621" s="3">
        <v>0</v>
      </c>
      <c r="K621" s="3">
        <v>4457</v>
      </c>
      <c r="L621" t="s">
        <v>1071</v>
      </c>
      <c r="M621" t="s">
        <v>1072</v>
      </c>
      <c r="N621" t="s">
        <v>1073</v>
      </c>
      <c r="O621" t="s">
        <v>1074</v>
      </c>
      <c r="P621" t="s">
        <v>1075</v>
      </c>
      <c r="Q621" t="s">
        <v>1076</v>
      </c>
      <c r="R621" t="s">
        <v>1077</v>
      </c>
      <c r="S621" t="s">
        <v>1078</v>
      </c>
      <c r="T621" t="s">
        <v>1079</v>
      </c>
      <c r="U621" t="s">
        <v>1080</v>
      </c>
      <c r="V621" t="s">
        <v>1081</v>
      </c>
      <c r="W621" t="s">
        <v>1082</v>
      </c>
      <c r="X621">
        <v>20240630</v>
      </c>
      <c r="Y621" t="s">
        <v>1083</v>
      </c>
      <c r="Z621" t="s">
        <v>1084</v>
      </c>
      <c r="AA621" s="11" t="str">
        <f t="shared" si="9"/>
        <v>EXEC [dbo].[BalanceGeneralInsertar] @Nivel ='Auxiliar',@Transaccional ='Sí',@CodigoCuentaContable ='53959502', @NombreCuentaContable ='Intereses de mora',@Identificacion ='890903938',@Sucursal ='',@NombreTercero ='Bancolombia',@SaldoInicial = 0,@MovimientoDebito = 4457,@MovimientoCredito =0,@SaldoFinal = 0,@Fecha ='20240630',@IdentificacionCliente = '901434038';</v>
      </c>
      <c r="AB621" t="s">
        <v>1085</v>
      </c>
    </row>
    <row r="622" spans="1:28" x14ac:dyDescent="0.25">
      <c r="A622" s="2" t="s">
        <v>28</v>
      </c>
      <c r="B622" s="2" t="s">
        <v>29</v>
      </c>
      <c r="C622" s="2" t="s">
        <v>653</v>
      </c>
      <c r="D622" s="2" t="s">
        <v>654</v>
      </c>
      <c r="E622" s="2" t="s">
        <v>39</v>
      </c>
      <c r="F622" s="2"/>
      <c r="G622" s="2" t="s">
        <v>40</v>
      </c>
      <c r="H622" s="3">
        <v>119000</v>
      </c>
      <c r="I622" s="3">
        <v>18000</v>
      </c>
      <c r="J622" s="3">
        <v>0</v>
      </c>
      <c r="K622" s="3">
        <v>137000</v>
      </c>
      <c r="L622" t="s">
        <v>1071</v>
      </c>
      <c r="M622" t="s">
        <v>1072</v>
      </c>
      <c r="N622" t="s">
        <v>1073</v>
      </c>
      <c r="O622" t="s">
        <v>1074</v>
      </c>
      <c r="P622" t="s">
        <v>1075</v>
      </c>
      <c r="Q622" t="s">
        <v>1076</v>
      </c>
      <c r="R622" t="s">
        <v>1077</v>
      </c>
      <c r="S622" t="s">
        <v>1078</v>
      </c>
      <c r="T622" t="s">
        <v>1079</v>
      </c>
      <c r="U622" t="s">
        <v>1080</v>
      </c>
      <c r="V622" t="s">
        <v>1081</v>
      </c>
      <c r="W622" t="s">
        <v>1082</v>
      </c>
      <c r="X622">
        <v>20240630</v>
      </c>
      <c r="Y622" t="s">
        <v>1083</v>
      </c>
      <c r="Z622" t="s">
        <v>1084</v>
      </c>
      <c r="AA622" s="11" t="str">
        <f t="shared" si="9"/>
        <v>EXEC [dbo].[BalanceGeneralInsertar] @Nivel ='Auxiliar',@Transaccional ='Sí',@CodigoCuentaContable ='53959502', @NombreCuentaContable ='Intereses de mora',@Identificacion ='800197268',@Sucursal ='',@NombreTercero ='DIAN',@SaldoInicial = 119000,@MovimientoDebito = 18000,@MovimientoCredito =0,@SaldoFinal = 0,@Fecha ='20240630',@IdentificacionCliente = '901434038';</v>
      </c>
      <c r="AB622" t="s">
        <v>1085</v>
      </c>
    </row>
    <row r="623" spans="1:28" x14ac:dyDescent="0.25">
      <c r="A623" s="2" t="s">
        <v>28</v>
      </c>
      <c r="B623" s="2" t="s">
        <v>29</v>
      </c>
      <c r="C623" s="2" t="s">
        <v>653</v>
      </c>
      <c r="D623" s="2" t="s">
        <v>654</v>
      </c>
      <c r="E623" s="2" t="s">
        <v>111</v>
      </c>
      <c r="F623" s="2"/>
      <c r="G623" s="2" t="s">
        <v>112</v>
      </c>
      <c r="H623" s="3">
        <v>77700</v>
      </c>
      <c r="I623" s="3">
        <v>10000</v>
      </c>
      <c r="J623" s="3">
        <v>0</v>
      </c>
      <c r="K623" s="3">
        <v>87700</v>
      </c>
      <c r="L623" t="s">
        <v>1071</v>
      </c>
      <c r="M623" t="s">
        <v>1072</v>
      </c>
      <c r="N623" t="s">
        <v>1073</v>
      </c>
      <c r="O623" t="s">
        <v>1074</v>
      </c>
      <c r="P623" t="s">
        <v>1075</v>
      </c>
      <c r="Q623" t="s">
        <v>1076</v>
      </c>
      <c r="R623" t="s">
        <v>1077</v>
      </c>
      <c r="S623" t="s">
        <v>1078</v>
      </c>
      <c r="T623" t="s">
        <v>1079</v>
      </c>
      <c r="U623" t="s">
        <v>1080</v>
      </c>
      <c r="V623" t="s">
        <v>1081</v>
      </c>
      <c r="W623" t="s">
        <v>1082</v>
      </c>
      <c r="X623">
        <v>20240630</v>
      </c>
      <c r="Y623" t="s">
        <v>1083</v>
      </c>
      <c r="Z623" t="s">
        <v>1084</v>
      </c>
      <c r="AA623" s="11" t="str">
        <f t="shared" si="9"/>
        <v>EXEC [dbo].[BalanceGeneralInsertar] @Nivel ='Auxiliar',@Transaccional ='Sí',@CodigoCuentaContable ='53959502', @NombreCuentaContable ='Intereses de mora',@Identificacion ='860066942',@Sucursal ='',@NombreTercero ='Compensar',@SaldoInicial = 77700,@MovimientoDebito = 10000,@MovimientoCredito =0,@SaldoFinal = 0,@Fecha ='20240630',@IdentificacionCliente = '901434038';</v>
      </c>
      <c r="AB623" t="s">
        <v>1085</v>
      </c>
    </row>
    <row r="624" spans="1:28" x14ac:dyDescent="0.25">
      <c r="A624" s="2" t="s">
        <v>28</v>
      </c>
      <c r="B624" s="2" t="s">
        <v>29</v>
      </c>
      <c r="C624" s="2" t="s">
        <v>653</v>
      </c>
      <c r="D624" s="2" t="s">
        <v>654</v>
      </c>
      <c r="E624" s="2" t="s">
        <v>61</v>
      </c>
      <c r="F624" s="2"/>
      <c r="G624" s="2" t="s">
        <v>62</v>
      </c>
      <c r="H624" s="3" t="s">
        <v>1069</v>
      </c>
      <c r="I624" s="3">
        <v>0</v>
      </c>
      <c r="J624" s="3">
        <v>0</v>
      </c>
      <c r="K624" s="3" t="s">
        <v>1069</v>
      </c>
      <c r="L624" t="s">
        <v>1071</v>
      </c>
      <c r="M624" t="s">
        <v>1072</v>
      </c>
      <c r="N624" t="s">
        <v>1073</v>
      </c>
      <c r="O624" t="s">
        <v>1074</v>
      </c>
      <c r="P624" t="s">
        <v>1075</v>
      </c>
      <c r="Q624" t="s">
        <v>1076</v>
      </c>
      <c r="R624" t="s">
        <v>1077</v>
      </c>
      <c r="S624" t="s">
        <v>1078</v>
      </c>
      <c r="T624" t="s">
        <v>1079</v>
      </c>
      <c r="U624" t="s">
        <v>1080</v>
      </c>
      <c r="V624" t="s">
        <v>1081</v>
      </c>
      <c r="W624" t="s">
        <v>1082</v>
      </c>
      <c r="X624">
        <v>20240630</v>
      </c>
      <c r="Y624" t="s">
        <v>1083</v>
      </c>
      <c r="Z624" t="s">
        <v>1084</v>
      </c>
      <c r="AA624" s="11" t="str">
        <f t="shared" si="9"/>
        <v>EXEC [dbo].[BalanceGeneralInsertar] @Nivel ='Auxiliar',@Transaccional ='Sí',@CodigoCuentaContable ='53959502', @NombreCuentaContable ='Intereses de mora',@Identificacion ='900995954',@Sucursal ='',@NombreTercero ='SEMPLI S.A.S.',@SaldoInicial = 1786.75,@MovimientoDebito = 0,@MovimientoCredito =0,@SaldoFinal = 0,@Fecha ='20240630',@IdentificacionCliente = '901434038';</v>
      </c>
      <c r="AB624" t="s">
        <v>1085</v>
      </c>
    </row>
    <row r="625" spans="1:28" x14ac:dyDescent="0.25">
      <c r="A625" s="2" t="s">
        <v>19</v>
      </c>
      <c r="B625" s="2" t="s">
        <v>16</v>
      </c>
      <c r="C625" s="2" t="s">
        <v>655</v>
      </c>
      <c r="D625" s="2" t="s">
        <v>656</v>
      </c>
      <c r="E625" s="2"/>
      <c r="F625" s="2"/>
      <c r="G625" s="2"/>
      <c r="H625" s="3">
        <v>11273245</v>
      </c>
      <c r="I625" s="3">
        <v>1247048</v>
      </c>
      <c r="J625" s="3">
        <v>0</v>
      </c>
      <c r="K625" s="3">
        <v>12520293</v>
      </c>
      <c r="L625" t="s">
        <v>1071</v>
      </c>
      <c r="M625" t="s">
        <v>1072</v>
      </c>
      <c r="N625" t="s">
        <v>1073</v>
      </c>
      <c r="O625" t="s">
        <v>1074</v>
      </c>
      <c r="P625" t="s">
        <v>1075</v>
      </c>
      <c r="Q625" t="s">
        <v>1076</v>
      </c>
      <c r="R625" t="s">
        <v>1077</v>
      </c>
      <c r="S625" t="s">
        <v>1078</v>
      </c>
      <c r="T625" t="s">
        <v>1079</v>
      </c>
      <c r="U625" t="s">
        <v>1080</v>
      </c>
      <c r="V625" t="s">
        <v>1081</v>
      </c>
      <c r="W625" t="s">
        <v>1082</v>
      </c>
      <c r="X625">
        <v>20240630</v>
      </c>
      <c r="Y625" t="s">
        <v>1083</v>
      </c>
      <c r="Z625" t="s">
        <v>1084</v>
      </c>
      <c r="AA625" s="11" t="str">
        <f t="shared" si="9"/>
        <v>EXEC [dbo].[BalanceGeneralInsertar] @Nivel ='Grupo',@Transaccional ='No',@CodigoCuentaContable ='54', @NombreCuentaContable ='Impuesto de renta y complementarios',@Identificacion ='',@Sucursal ='',@NombreTercero ='',@SaldoInicial = 11273245,@MovimientoDebito = 1247048,@MovimientoCredito =0,@SaldoFinal = 0,@Fecha ='20240630',@IdentificacionCliente = '901434038';</v>
      </c>
      <c r="AB625" t="s">
        <v>1085</v>
      </c>
    </row>
    <row r="626" spans="1:28" x14ac:dyDescent="0.25">
      <c r="A626" s="2" t="s">
        <v>22</v>
      </c>
      <c r="B626" s="2" t="s">
        <v>16</v>
      </c>
      <c r="C626" s="2" t="s">
        <v>657</v>
      </c>
      <c r="D626" s="2" t="s">
        <v>656</v>
      </c>
      <c r="E626" s="2"/>
      <c r="F626" s="2"/>
      <c r="G626" s="2"/>
      <c r="H626" s="3">
        <v>11273245</v>
      </c>
      <c r="I626" s="3">
        <v>1247048</v>
      </c>
      <c r="J626" s="3">
        <v>0</v>
      </c>
      <c r="K626" s="3">
        <v>12520293</v>
      </c>
      <c r="L626" t="s">
        <v>1071</v>
      </c>
      <c r="M626" t="s">
        <v>1072</v>
      </c>
      <c r="N626" t="s">
        <v>1073</v>
      </c>
      <c r="O626" t="s">
        <v>1074</v>
      </c>
      <c r="P626" t="s">
        <v>1075</v>
      </c>
      <c r="Q626" t="s">
        <v>1076</v>
      </c>
      <c r="R626" t="s">
        <v>1077</v>
      </c>
      <c r="S626" t="s">
        <v>1078</v>
      </c>
      <c r="T626" t="s">
        <v>1079</v>
      </c>
      <c r="U626" t="s">
        <v>1080</v>
      </c>
      <c r="V626" t="s">
        <v>1081</v>
      </c>
      <c r="W626" t="s">
        <v>1082</v>
      </c>
      <c r="X626">
        <v>20240630</v>
      </c>
      <c r="Y626" t="s">
        <v>1083</v>
      </c>
      <c r="Z626" t="s">
        <v>1084</v>
      </c>
      <c r="AA626" s="11" t="str">
        <f t="shared" si="9"/>
        <v>EXEC [dbo].[BalanceGeneralInsertar] @Nivel ='Cuenta',@Transaccional ='No',@CodigoCuentaContable ='5405', @NombreCuentaContable ='Impuesto de renta y complementarios',@Identificacion ='',@Sucursal ='',@NombreTercero ='',@SaldoInicial = 11273245,@MovimientoDebito = 1247048,@MovimientoCredito =0,@SaldoFinal = 0,@Fecha ='20240630',@IdentificacionCliente = '901434038';</v>
      </c>
      <c r="AB626" t="s">
        <v>1085</v>
      </c>
    </row>
    <row r="627" spans="1:28" x14ac:dyDescent="0.25">
      <c r="A627" s="2" t="s">
        <v>25</v>
      </c>
      <c r="B627" s="2" t="s">
        <v>16</v>
      </c>
      <c r="C627" s="2" t="s">
        <v>658</v>
      </c>
      <c r="D627" s="2" t="s">
        <v>656</v>
      </c>
      <c r="E627" s="2"/>
      <c r="F627" s="2"/>
      <c r="G627" s="2"/>
      <c r="H627" s="3">
        <v>11273245</v>
      </c>
      <c r="I627" s="3">
        <v>1247048</v>
      </c>
      <c r="J627" s="3">
        <v>0</v>
      </c>
      <c r="K627" s="3">
        <v>12520293</v>
      </c>
      <c r="L627" t="s">
        <v>1071</v>
      </c>
      <c r="M627" t="s">
        <v>1072</v>
      </c>
      <c r="N627" t="s">
        <v>1073</v>
      </c>
      <c r="O627" t="s">
        <v>1074</v>
      </c>
      <c r="P627" t="s">
        <v>1075</v>
      </c>
      <c r="Q627" t="s">
        <v>1076</v>
      </c>
      <c r="R627" t="s">
        <v>1077</v>
      </c>
      <c r="S627" t="s">
        <v>1078</v>
      </c>
      <c r="T627" t="s">
        <v>1079</v>
      </c>
      <c r="U627" t="s">
        <v>1080</v>
      </c>
      <c r="V627" t="s">
        <v>1081</v>
      </c>
      <c r="W627" t="s">
        <v>1082</v>
      </c>
      <c r="X627">
        <v>20240630</v>
      </c>
      <c r="Y627" t="s">
        <v>1083</v>
      </c>
      <c r="Z627" t="s">
        <v>1084</v>
      </c>
      <c r="AA627" s="11" t="str">
        <f t="shared" si="9"/>
        <v>EXEC [dbo].[BalanceGeneralInsertar] @Nivel ='Subcuenta',@Transaccional ='No',@CodigoCuentaContable ='540505', @NombreCuentaContable ='Impuesto de renta y complementarios',@Identificacion ='',@Sucursal ='',@NombreTercero ='',@SaldoInicial = 11273245,@MovimientoDebito = 1247048,@MovimientoCredito =0,@SaldoFinal = 0,@Fecha ='20240630',@IdentificacionCliente = '901434038';</v>
      </c>
      <c r="AB627" t="s">
        <v>1085</v>
      </c>
    </row>
    <row r="628" spans="1:28" x14ac:dyDescent="0.25">
      <c r="A628" s="2" t="s">
        <v>28</v>
      </c>
      <c r="B628" s="2" t="s">
        <v>29</v>
      </c>
      <c r="C628" s="2" t="s">
        <v>659</v>
      </c>
      <c r="D628" s="2" t="s">
        <v>656</v>
      </c>
      <c r="E628" s="2" t="s">
        <v>39</v>
      </c>
      <c r="F628" s="2"/>
      <c r="G628" s="2" t="s">
        <v>40</v>
      </c>
      <c r="H628" s="3">
        <v>11273245</v>
      </c>
      <c r="I628" s="3">
        <v>1247048</v>
      </c>
      <c r="J628" s="3">
        <v>0</v>
      </c>
      <c r="K628" s="3">
        <v>12520293</v>
      </c>
      <c r="L628" t="s">
        <v>1071</v>
      </c>
      <c r="M628" t="s">
        <v>1072</v>
      </c>
      <c r="N628" t="s">
        <v>1073</v>
      </c>
      <c r="O628" t="s">
        <v>1074</v>
      </c>
      <c r="P628" t="s">
        <v>1075</v>
      </c>
      <c r="Q628" t="s">
        <v>1076</v>
      </c>
      <c r="R628" t="s">
        <v>1077</v>
      </c>
      <c r="S628" t="s">
        <v>1078</v>
      </c>
      <c r="T628" t="s">
        <v>1079</v>
      </c>
      <c r="U628" t="s">
        <v>1080</v>
      </c>
      <c r="V628" t="s">
        <v>1081</v>
      </c>
      <c r="W628" t="s">
        <v>1082</v>
      </c>
      <c r="X628">
        <v>20240630</v>
      </c>
      <c r="Y628" t="s">
        <v>1083</v>
      </c>
      <c r="Z628" t="s">
        <v>1084</v>
      </c>
      <c r="AA628" s="11" t="str">
        <f t="shared" si="9"/>
        <v>EXEC [dbo].[BalanceGeneralInsertar] @Nivel ='Auxiliar',@Transaccional ='Sí',@CodigoCuentaContable ='54050501', @NombreCuentaContable ='Impuesto de renta y complementarios',@Identificacion ='800197268',@Sucursal ='',@NombreTercero ='DIAN',@SaldoInicial = 11273245,@MovimientoDebito = 1247048,@MovimientoCredito =0,@SaldoFinal = 0,@Fecha ='20240630',@IdentificacionCliente = '901434038';</v>
      </c>
      <c r="AB628" t="s">
        <v>1085</v>
      </c>
    </row>
    <row r="629" spans="1:28" x14ac:dyDescent="0.25">
      <c r="A629" s="2" t="s">
        <v>15</v>
      </c>
      <c r="B629" s="2" t="s">
        <v>16</v>
      </c>
      <c r="C629" s="2" t="s">
        <v>660</v>
      </c>
      <c r="D629" s="2" t="s">
        <v>661</v>
      </c>
      <c r="E629" s="2"/>
      <c r="F629" s="2"/>
      <c r="G629" s="2"/>
      <c r="H629" s="3">
        <v>297533493</v>
      </c>
      <c r="I629" s="3">
        <v>51845323</v>
      </c>
      <c r="J629" s="3">
        <v>0</v>
      </c>
      <c r="K629" s="3">
        <v>349378816</v>
      </c>
      <c r="L629" t="s">
        <v>1071</v>
      </c>
      <c r="M629" t="s">
        <v>1072</v>
      </c>
      <c r="N629" t="s">
        <v>1073</v>
      </c>
      <c r="O629" t="s">
        <v>1074</v>
      </c>
      <c r="P629" t="s">
        <v>1075</v>
      </c>
      <c r="Q629" t="s">
        <v>1076</v>
      </c>
      <c r="R629" t="s">
        <v>1077</v>
      </c>
      <c r="S629" t="s">
        <v>1078</v>
      </c>
      <c r="T629" t="s">
        <v>1079</v>
      </c>
      <c r="U629" t="s">
        <v>1080</v>
      </c>
      <c r="V629" t="s">
        <v>1081</v>
      </c>
      <c r="W629" t="s">
        <v>1082</v>
      </c>
      <c r="X629">
        <v>20240630</v>
      </c>
      <c r="Y629" t="s">
        <v>1083</v>
      </c>
      <c r="Z629" t="s">
        <v>1084</v>
      </c>
      <c r="AA629" s="11" t="str">
        <f t="shared" si="9"/>
        <v>EXEC [dbo].[BalanceGeneralInsertar] @Nivel ='Clase',@Transaccional ='No',@CodigoCuentaContable ='6', @NombreCuentaContable ='Costos de venta',@Identificacion ='',@Sucursal ='',@NombreTercero ='',@SaldoInicial = 297533493,@MovimientoDebito = 51845323,@MovimientoCredito =0,@SaldoFinal = 0,@Fecha ='20240630',@IdentificacionCliente = '901434038';</v>
      </c>
      <c r="AB629" t="s">
        <v>1085</v>
      </c>
    </row>
    <row r="630" spans="1:28" x14ac:dyDescent="0.25">
      <c r="A630" s="2" t="s">
        <v>19</v>
      </c>
      <c r="B630" s="2" t="s">
        <v>16</v>
      </c>
      <c r="C630" s="2" t="s">
        <v>662</v>
      </c>
      <c r="D630" s="2" t="s">
        <v>663</v>
      </c>
      <c r="E630" s="2"/>
      <c r="F630" s="2"/>
      <c r="G630" s="2"/>
      <c r="H630" s="3">
        <v>297533493</v>
      </c>
      <c r="I630" s="3">
        <v>51845323</v>
      </c>
      <c r="J630" s="3">
        <v>0</v>
      </c>
      <c r="K630" s="3">
        <v>349378816</v>
      </c>
      <c r="L630" t="s">
        <v>1071</v>
      </c>
      <c r="M630" t="s">
        <v>1072</v>
      </c>
      <c r="N630" t="s">
        <v>1073</v>
      </c>
      <c r="O630" t="s">
        <v>1074</v>
      </c>
      <c r="P630" t="s">
        <v>1075</v>
      </c>
      <c r="Q630" t="s">
        <v>1076</v>
      </c>
      <c r="R630" t="s">
        <v>1077</v>
      </c>
      <c r="S630" t="s">
        <v>1078</v>
      </c>
      <c r="T630" t="s">
        <v>1079</v>
      </c>
      <c r="U630" t="s">
        <v>1080</v>
      </c>
      <c r="V630" t="s">
        <v>1081</v>
      </c>
      <c r="W630" t="s">
        <v>1082</v>
      </c>
      <c r="X630">
        <v>20240630</v>
      </c>
      <c r="Y630" t="s">
        <v>1083</v>
      </c>
      <c r="Z630" t="s">
        <v>1084</v>
      </c>
      <c r="AA630" s="11" t="str">
        <f t="shared" si="9"/>
        <v>EXEC [dbo].[BalanceGeneralInsertar] @Nivel ='Grupo',@Transaccional ='No',@CodigoCuentaContable ='61', @NombreCuentaContable ='Costo de ventas y de prestación de servicios',@Identificacion ='',@Sucursal ='',@NombreTercero ='',@SaldoInicial = 297533493,@MovimientoDebito = 51845323,@MovimientoCredito =0,@SaldoFinal = 0,@Fecha ='20240630',@IdentificacionCliente = '901434038';</v>
      </c>
      <c r="AB630" t="s">
        <v>1085</v>
      </c>
    </row>
    <row r="631" spans="1:28" x14ac:dyDescent="0.25">
      <c r="A631" s="2" t="s">
        <v>22</v>
      </c>
      <c r="B631" s="2" t="s">
        <v>16</v>
      </c>
      <c r="C631" s="2" t="s">
        <v>664</v>
      </c>
      <c r="D631" s="2" t="s">
        <v>665</v>
      </c>
      <c r="E631" s="2"/>
      <c r="F631" s="2"/>
      <c r="G631" s="2"/>
      <c r="H631" s="3">
        <v>4407150</v>
      </c>
      <c r="I631" s="3">
        <v>0</v>
      </c>
      <c r="J631" s="3">
        <v>0</v>
      </c>
      <c r="K631" s="3">
        <v>4407150</v>
      </c>
      <c r="L631" t="s">
        <v>1071</v>
      </c>
      <c r="M631" t="s">
        <v>1072</v>
      </c>
      <c r="N631" t="s">
        <v>1073</v>
      </c>
      <c r="O631" t="s">
        <v>1074</v>
      </c>
      <c r="P631" t="s">
        <v>1075</v>
      </c>
      <c r="Q631" t="s">
        <v>1076</v>
      </c>
      <c r="R631" t="s">
        <v>1077</v>
      </c>
      <c r="S631" t="s">
        <v>1078</v>
      </c>
      <c r="T631" t="s">
        <v>1079</v>
      </c>
      <c r="U631" t="s">
        <v>1080</v>
      </c>
      <c r="V631" t="s">
        <v>1081</v>
      </c>
      <c r="W631" t="s">
        <v>1082</v>
      </c>
      <c r="X631">
        <v>20240630</v>
      </c>
      <c r="Y631" t="s">
        <v>1083</v>
      </c>
      <c r="Z631" t="s">
        <v>1084</v>
      </c>
      <c r="AA631" s="11" t="str">
        <f t="shared" si="9"/>
        <v>EXEC [dbo].[BalanceGeneralInsertar] @Nivel ='Cuenta',@Transaccional ='No',@CodigoCuentaContable ='6135', @NombreCuentaContable ='Comercio al por mayor y al por menor',@Identificacion ='',@Sucursal ='',@NombreTercero ='',@SaldoInicial = 4407150,@MovimientoDebito = 0,@MovimientoCredito =0,@SaldoFinal = 0,@Fecha ='20240630',@IdentificacionCliente = '901434038';</v>
      </c>
      <c r="AB631" t="s">
        <v>1085</v>
      </c>
    </row>
    <row r="632" spans="1:28" x14ac:dyDescent="0.25">
      <c r="A632" s="2" t="s">
        <v>25</v>
      </c>
      <c r="B632" s="2" t="s">
        <v>16</v>
      </c>
      <c r="C632" s="2" t="s">
        <v>666</v>
      </c>
      <c r="D632" s="2" t="s">
        <v>665</v>
      </c>
      <c r="E632" s="2"/>
      <c r="F632" s="2"/>
      <c r="G632" s="2"/>
      <c r="H632" s="3">
        <v>4407150</v>
      </c>
      <c r="I632" s="3">
        <v>0</v>
      </c>
      <c r="J632" s="3">
        <v>0</v>
      </c>
      <c r="K632" s="3">
        <v>4407150</v>
      </c>
      <c r="L632" t="s">
        <v>1071</v>
      </c>
      <c r="M632" t="s">
        <v>1072</v>
      </c>
      <c r="N632" t="s">
        <v>1073</v>
      </c>
      <c r="O632" t="s">
        <v>1074</v>
      </c>
      <c r="P632" t="s">
        <v>1075</v>
      </c>
      <c r="Q632" t="s">
        <v>1076</v>
      </c>
      <c r="R632" t="s">
        <v>1077</v>
      </c>
      <c r="S632" t="s">
        <v>1078</v>
      </c>
      <c r="T632" t="s">
        <v>1079</v>
      </c>
      <c r="U632" t="s">
        <v>1080</v>
      </c>
      <c r="V632" t="s">
        <v>1081</v>
      </c>
      <c r="W632" t="s">
        <v>1082</v>
      </c>
      <c r="X632">
        <v>20240630</v>
      </c>
      <c r="Y632" t="s">
        <v>1083</v>
      </c>
      <c r="Z632" t="s">
        <v>1084</v>
      </c>
      <c r="AA632" s="11" t="str">
        <f t="shared" si="9"/>
        <v>EXEC [dbo].[BalanceGeneralInsertar] @Nivel ='Subcuenta',@Transaccional ='No',@CodigoCuentaContable ='613505', @NombreCuentaContable ='Comercio al por mayor y al por menor',@Identificacion ='',@Sucursal ='',@NombreTercero ='',@SaldoInicial = 4407150,@MovimientoDebito = 0,@MovimientoCredito =0,@SaldoFinal = 0,@Fecha ='20240630',@IdentificacionCliente = '901434038';</v>
      </c>
      <c r="AB632" t="s">
        <v>1085</v>
      </c>
    </row>
    <row r="633" spans="1:28" x14ac:dyDescent="0.25">
      <c r="A633" s="2" t="s">
        <v>28</v>
      </c>
      <c r="B633" s="2" t="s">
        <v>29</v>
      </c>
      <c r="C633" s="2" t="s">
        <v>667</v>
      </c>
      <c r="D633" s="2" t="s">
        <v>668</v>
      </c>
      <c r="E633" s="2" t="s">
        <v>223</v>
      </c>
      <c r="F633" s="2"/>
      <c r="G633" s="2" t="s">
        <v>224</v>
      </c>
      <c r="H633" s="3">
        <v>373000</v>
      </c>
      <c r="I633" s="3">
        <v>0</v>
      </c>
      <c r="J633" s="3">
        <v>0</v>
      </c>
      <c r="K633" s="3">
        <v>373000</v>
      </c>
      <c r="L633" t="s">
        <v>1071</v>
      </c>
      <c r="M633" t="s">
        <v>1072</v>
      </c>
      <c r="N633" t="s">
        <v>1073</v>
      </c>
      <c r="O633" t="s">
        <v>1074</v>
      </c>
      <c r="P633" t="s">
        <v>1075</v>
      </c>
      <c r="Q633" t="s">
        <v>1076</v>
      </c>
      <c r="R633" t="s">
        <v>1077</v>
      </c>
      <c r="S633" t="s">
        <v>1078</v>
      </c>
      <c r="T633" t="s">
        <v>1079</v>
      </c>
      <c r="U633" t="s">
        <v>1080</v>
      </c>
      <c r="V633" t="s">
        <v>1081</v>
      </c>
      <c r="W633" t="s">
        <v>1082</v>
      </c>
      <c r="X633">
        <v>20240630</v>
      </c>
      <c r="Y633" t="s">
        <v>1083</v>
      </c>
      <c r="Z633" t="s">
        <v>1084</v>
      </c>
      <c r="AA633" s="11" t="str">
        <f t="shared" si="9"/>
        <v>EXEC [dbo].[BalanceGeneralInsertar] @Nivel ='Auxiliar',@Transaccional ='Sí',@CodigoCuentaContable ='61350501', @NombreCuentaContable ='COSTO DE VENTA-ACEITE MINERAL PARA EXILIS',@Identificacion ='901434038',@Sucursal ='',@NombreTercero ='DAXA QUALITY SAS',@SaldoInicial = 373000,@MovimientoDebito = 0,@MovimientoCredito =0,@SaldoFinal = 0,@Fecha ='20240630',@IdentificacionCliente = '901434038';</v>
      </c>
      <c r="AB633" t="s">
        <v>1085</v>
      </c>
    </row>
    <row r="634" spans="1:28" x14ac:dyDescent="0.25">
      <c r="A634" s="2" t="s">
        <v>28</v>
      </c>
      <c r="B634" s="2" t="s">
        <v>29</v>
      </c>
      <c r="C634" s="2" t="s">
        <v>669</v>
      </c>
      <c r="D634" s="2" t="s">
        <v>670</v>
      </c>
      <c r="E634" s="2" t="s">
        <v>223</v>
      </c>
      <c r="F634" s="2"/>
      <c r="G634" s="2" t="s">
        <v>224</v>
      </c>
      <c r="H634" s="3">
        <v>485000</v>
      </c>
      <c r="I634" s="3">
        <v>0</v>
      </c>
      <c r="J634" s="3">
        <v>0</v>
      </c>
      <c r="K634" s="3">
        <v>485000</v>
      </c>
      <c r="L634" t="s">
        <v>1071</v>
      </c>
      <c r="M634" t="s">
        <v>1072</v>
      </c>
      <c r="N634" t="s">
        <v>1073</v>
      </c>
      <c r="O634" t="s">
        <v>1074</v>
      </c>
      <c r="P634" t="s">
        <v>1075</v>
      </c>
      <c r="Q634" t="s">
        <v>1076</v>
      </c>
      <c r="R634" t="s">
        <v>1077</v>
      </c>
      <c r="S634" t="s">
        <v>1078</v>
      </c>
      <c r="T634" t="s">
        <v>1079</v>
      </c>
      <c r="U634" t="s">
        <v>1080</v>
      </c>
      <c r="V634" t="s">
        <v>1081</v>
      </c>
      <c r="W634" t="s">
        <v>1082</v>
      </c>
      <c r="X634">
        <v>20240630</v>
      </c>
      <c r="Y634" t="s">
        <v>1083</v>
      </c>
      <c r="Z634" t="s">
        <v>1084</v>
      </c>
      <c r="AA634" s="11" t="str">
        <f t="shared" si="9"/>
        <v>EXEC [dbo].[BalanceGeneralInsertar] @Nivel ='Auxiliar',@Transaccional ='Sí',@CodigoCuentaContable ='61350503', @NombreCuentaContable ='COSTO-RF CREMA',@Identificacion ='901434038',@Sucursal ='',@NombreTercero ='DAXA QUALITY SAS',@SaldoInicial = 485000,@MovimientoDebito = 0,@MovimientoCredito =0,@SaldoFinal = 0,@Fecha ='20240630',@IdentificacionCliente = '901434038';</v>
      </c>
      <c r="AB634" t="s">
        <v>1085</v>
      </c>
    </row>
    <row r="635" spans="1:28" x14ac:dyDescent="0.25">
      <c r="A635" s="2" t="s">
        <v>28</v>
      </c>
      <c r="B635" s="2" t="s">
        <v>29</v>
      </c>
      <c r="C635" s="2" t="s">
        <v>671</v>
      </c>
      <c r="D635" s="2" t="s">
        <v>264</v>
      </c>
      <c r="E635" s="2" t="s">
        <v>223</v>
      </c>
      <c r="F635" s="2"/>
      <c r="G635" s="2" t="s">
        <v>224</v>
      </c>
      <c r="H635" s="3">
        <v>2400000</v>
      </c>
      <c r="I635" s="3">
        <v>0</v>
      </c>
      <c r="J635" s="3">
        <v>0</v>
      </c>
      <c r="K635" s="3">
        <v>2400000</v>
      </c>
      <c r="L635" t="s">
        <v>1071</v>
      </c>
      <c r="M635" t="s">
        <v>1072</v>
      </c>
      <c r="N635" t="s">
        <v>1073</v>
      </c>
      <c r="O635" t="s">
        <v>1074</v>
      </c>
      <c r="P635" t="s">
        <v>1075</v>
      </c>
      <c r="Q635" t="s">
        <v>1076</v>
      </c>
      <c r="R635" t="s">
        <v>1077</v>
      </c>
      <c r="S635" t="s">
        <v>1078</v>
      </c>
      <c r="T635" t="s">
        <v>1079</v>
      </c>
      <c r="U635" t="s">
        <v>1080</v>
      </c>
      <c r="V635" t="s">
        <v>1081</v>
      </c>
      <c r="W635" t="s">
        <v>1082</v>
      </c>
      <c r="X635">
        <v>20240630</v>
      </c>
      <c r="Y635" t="s">
        <v>1083</v>
      </c>
      <c r="Z635" t="s">
        <v>1084</v>
      </c>
      <c r="AA635" s="11" t="str">
        <f t="shared" si="9"/>
        <v>EXEC [dbo].[BalanceGeneralInsertar] @Nivel ='Auxiliar',@Transaccional ='Sí',@CodigoCuentaContable ='61350510', @NombreCuentaContable ='KIT DE REPUESTO PARA WAVE',@Identificacion ='901434038',@Sucursal ='',@NombreTercero ='DAXA QUALITY SAS',@SaldoInicial = 2400000,@MovimientoDebito = 0,@MovimientoCredito =0,@SaldoFinal = 0,@Fecha ='20240630',@IdentificacionCliente = '901434038';</v>
      </c>
      <c r="AB635" t="s">
        <v>1085</v>
      </c>
    </row>
    <row r="636" spans="1:28" x14ac:dyDescent="0.25">
      <c r="A636" s="2" t="s">
        <v>28</v>
      </c>
      <c r="B636" s="2" t="s">
        <v>29</v>
      </c>
      <c r="C636" s="2" t="s">
        <v>672</v>
      </c>
      <c r="D636" s="2" t="s">
        <v>240</v>
      </c>
      <c r="E636" s="2" t="s">
        <v>223</v>
      </c>
      <c r="F636" s="2"/>
      <c r="G636" s="2" t="s">
        <v>224</v>
      </c>
      <c r="H636" s="3">
        <v>1149150</v>
      </c>
      <c r="I636" s="3">
        <v>0</v>
      </c>
      <c r="J636" s="3">
        <v>0</v>
      </c>
      <c r="K636" s="3">
        <v>1149150</v>
      </c>
      <c r="L636" t="s">
        <v>1071</v>
      </c>
      <c r="M636" t="s">
        <v>1072</v>
      </c>
      <c r="N636" t="s">
        <v>1073</v>
      </c>
      <c r="O636" t="s">
        <v>1074</v>
      </c>
      <c r="P636" t="s">
        <v>1075</v>
      </c>
      <c r="Q636" t="s">
        <v>1076</v>
      </c>
      <c r="R636" t="s">
        <v>1077</v>
      </c>
      <c r="S636" t="s">
        <v>1078</v>
      </c>
      <c r="T636" t="s">
        <v>1079</v>
      </c>
      <c r="U636" t="s">
        <v>1080</v>
      </c>
      <c r="V636" t="s">
        <v>1081</v>
      </c>
      <c r="W636" t="s">
        <v>1082</v>
      </c>
      <c r="X636">
        <v>20240630</v>
      </c>
      <c r="Y636" t="s">
        <v>1083</v>
      </c>
      <c r="Z636" t="s">
        <v>1084</v>
      </c>
      <c r="AA636" s="11" t="str">
        <f t="shared" si="9"/>
        <v>EXEC [dbo].[BalanceGeneralInsertar] @Nivel ='Auxiliar',@Transaccional ='Sí',@CodigoCuentaContable ='61350512', @NombreCuentaContable ='ELECTRODO PARCHE ADHESIVO PARA EMTONE',@Identificacion ='901434038',@Sucursal ='',@NombreTercero ='DAXA QUALITY SAS',@SaldoInicial = 1149150,@MovimientoDebito = 0,@MovimientoCredito =0,@SaldoFinal = 0,@Fecha ='20240630',@IdentificacionCliente = '901434038';</v>
      </c>
      <c r="AB636" t="s">
        <v>1085</v>
      </c>
    </row>
    <row r="637" spans="1:28" x14ac:dyDescent="0.25">
      <c r="A637" s="2" t="s">
        <v>22</v>
      </c>
      <c r="B637" s="2" t="s">
        <v>16</v>
      </c>
      <c r="C637" s="2" t="s">
        <v>673</v>
      </c>
      <c r="D637" s="2" t="s">
        <v>382</v>
      </c>
      <c r="E637" s="2"/>
      <c r="F637" s="2"/>
      <c r="G637" s="2"/>
      <c r="H637" s="3">
        <v>293126343</v>
      </c>
      <c r="I637" s="3">
        <v>51845323</v>
      </c>
      <c r="J637" s="3">
        <v>0</v>
      </c>
      <c r="K637" s="3">
        <v>344971666</v>
      </c>
      <c r="L637" t="s">
        <v>1071</v>
      </c>
      <c r="M637" t="s">
        <v>1072</v>
      </c>
      <c r="N637" t="s">
        <v>1073</v>
      </c>
      <c r="O637" t="s">
        <v>1074</v>
      </c>
      <c r="P637" t="s">
        <v>1075</v>
      </c>
      <c r="Q637" t="s">
        <v>1076</v>
      </c>
      <c r="R637" t="s">
        <v>1077</v>
      </c>
      <c r="S637" t="s">
        <v>1078</v>
      </c>
      <c r="T637" t="s">
        <v>1079</v>
      </c>
      <c r="U637" t="s">
        <v>1080</v>
      </c>
      <c r="V637" t="s">
        <v>1081</v>
      </c>
      <c r="W637" t="s">
        <v>1082</v>
      </c>
      <c r="X637">
        <v>20240630</v>
      </c>
      <c r="Y637" t="s">
        <v>1083</v>
      </c>
      <c r="Z637" t="s">
        <v>1084</v>
      </c>
      <c r="AA637" s="11" t="str">
        <f t="shared" si="9"/>
        <v>EXEC [dbo].[BalanceGeneralInsertar] @Nivel ='Cuenta',@Transaccional ='No',@CodigoCuentaContable ='6180', @NombreCuentaContable ='Servicios',@Identificacion ='',@Sucursal ='',@NombreTercero ='',@SaldoInicial = 293126343,@MovimientoDebito = 51845323,@MovimientoCredito =0,@SaldoFinal = 0,@Fecha ='20240630',@IdentificacionCliente = '901434038';</v>
      </c>
      <c r="AB637" t="s">
        <v>1085</v>
      </c>
    </row>
    <row r="638" spans="1:28" x14ac:dyDescent="0.25">
      <c r="A638" s="2" t="s">
        <v>25</v>
      </c>
      <c r="B638" s="2" t="s">
        <v>16</v>
      </c>
      <c r="C638" s="2" t="s">
        <v>674</v>
      </c>
      <c r="D638" s="2" t="s">
        <v>382</v>
      </c>
      <c r="E638" s="2"/>
      <c r="F638" s="2"/>
      <c r="G638" s="2"/>
      <c r="H638" s="3">
        <v>293126343</v>
      </c>
      <c r="I638" s="3">
        <v>51845323</v>
      </c>
      <c r="J638" s="3">
        <v>0</v>
      </c>
      <c r="K638" s="3">
        <v>344971666</v>
      </c>
      <c r="L638" t="s">
        <v>1071</v>
      </c>
      <c r="M638" t="s">
        <v>1072</v>
      </c>
      <c r="N638" t="s">
        <v>1073</v>
      </c>
      <c r="O638" t="s">
        <v>1074</v>
      </c>
      <c r="P638" t="s">
        <v>1075</v>
      </c>
      <c r="Q638" t="s">
        <v>1076</v>
      </c>
      <c r="R638" t="s">
        <v>1077</v>
      </c>
      <c r="S638" t="s">
        <v>1078</v>
      </c>
      <c r="T638" t="s">
        <v>1079</v>
      </c>
      <c r="U638" t="s">
        <v>1080</v>
      </c>
      <c r="V638" t="s">
        <v>1081</v>
      </c>
      <c r="W638" t="s">
        <v>1082</v>
      </c>
      <c r="X638">
        <v>20240630</v>
      </c>
      <c r="Y638" t="s">
        <v>1083</v>
      </c>
      <c r="Z638" t="s">
        <v>1084</v>
      </c>
      <c r="AA638" s="11" t="str">
        <f t="shared" si="9"/>
        <v>EXEC [dbo].[BalanceGeneralInsertar] @Nivel ='Subcuenta',@Transaccional ='No',@CodigoCuentaContable ='618001', @NombreCuentaContable ='Servicios',@Identificacion ='',@Sucursal ='',@NombreTercero ='',@SaldoInicial = 293126343,@MovimientoDebito = 51845323,@MovimientoCredito =0,@SaldoFinal = 0,@Fecha ='20240630',@IdentificacionCliente = '901434038';</v>
      </c>
      <c r="AB638" t="s">
        <v>1085</v>
      </c>
    </row>
    <row r="639" spans="1:28" x14ac:dyDescent="0.25">
      <c r="A639" s="2" t="s">
        <v>28</v>
      </c>
      <c r="B639" s="2" t="s">
        <v>29</v>
      </c>
      <c r="C639" s="2" t="s">
        <v>675</v>
      </c>
      <c r="D639" s="2" t="s">
        <v>382</v>
      </c>
      <c r="E639" s="2" t="s">
        <v>223</v>
      </c>
      <c r="F639" s="2"/>
      <c r="G639" s="2" t="s">
        <v>224</v>
      </c>
      <c r="H639" s="3">
        <v>293126343</v>
      </c>
      <c r="I639" s="3">
        <v>51845323</v>
      </c>
      <c r="J639" s="3">
        <v>0</v>
      </c>
      <c r="K639" s="3">
        <v>344971666</v>
      </c>
      <c r="L639" t="s">
        <v>1071</v>
      </c>
      <c r="M639" t="s">
        <v>1072</v>
      </c>
      <c r="N639" t="s">
        <v>1073</v>
      </c>
      <c r="O639" t="s">
        <v>1074</v>
      </c>
      <c r="P639" t="s">
        <v>1075</v>
      </c>
      <c r="Q639" t="s">
        <v>1076</v>
      </c>
      <c r="R639" t="s">
        <v>1077</v>
      </c>
      <c r="S639" t="s">
        <v>1078</v>
      </c>
      <c r="T639" t="s">
        <v>1079</v>
      </c>
      <c r="U639" t="s">
        <v>1080</v>
      </c>
      <c r="V639" t="s">
        <v>1081</v>
      </c>
      <c r="W639" t="s">
        <v>1082</v>
      </c>
      <c r="X639">
        <v>20240630</v>
      </c>
      <c r="Y639" t="s">
        <v>1083</v>
      </c>
      <c r="Z639" t="s">
        <v>1084</v>
      </c>
      <c r="AA639" s="11" t="str">
        <f t="shared" si="9"/>
        <v>EXEC [dbo].[BalanceGeneralInsertar] @Nivel ='Auxiliar',@Transaccional ='Sí',@CodigoCuentaContable ='61800101', @NombreCuentaContable ='Servicios',@Identificacion ='901434038',@Sucursal ='',@NombreTercero ='DAXA QUALITY SAS',@SaldoInicial = 293126343,@MovimientoDebito = 51845323,@MovimientoCredito =0,@SaldoFinal = 0,@Fecha ='20240630',@IdentificacionCliente = '901434038';</v>
      </c>
      <c r="AB639" t="s">
        <v>1085</v>
      </c>
    </row>
    <row r="640" spans="1:28" collapsed="1" x14ac:dyDescent="0.25"/>
    <row r="641" spans="1:11" x14ac:dyDescent="0.25">
      <c r="A641" s="4" t="s">
        <v>676</v>
      </c>
      <c r="B641" s="4"/>
      <c r="C641" s="4"/>
      <c r="D641" s="4"/>
      <c r="E641" s="4"/>
      <c r="F641" s="4"/>
      <c r="G641" s="4"/>
      <c r="H641" s="4"/>
      <c r="I641" s="5" t="s">
        <v>1070</v>
      </c>
      <c r="J641" s="5" t="s">
        <v>1070</v>
      </c>
      <c r="K641" s="4"/>
    </row>
    <row r="642" spans="1:11" collapsed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spans="1:11" collapsed="1" x14ac:dyDescent="0.25">
      <c r="A643" s="10" t="s">
        <v>677</v>
      </c>
      <c r="B643" s="8"/>
      <c r="C643" s="8"/>
      <c r="D643" s="8"/>
      <c r="E643" s="8"/>
      <c r="F643" s="8"/>
      <c r="G643" s="8"/>
      <c r="H643" s="8"/>
      <c r="I643" s="8"/>
      <c r="J643" s="8"/>
      <c r="K643" s="8"/>
    </row>
  </sheetData>
  <mergeCells count="8">
    <mergeCell ref="A6:K6"/>
    <mergeCell ref="A7:K7"/>
    <mergeCell ref="A643:K643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NAZLY OLMOS</cp:lastModifiedBy>
  <dcterms:created xsi:type="dcterms:W3CDTF">2024-10-23T15:06:23Z</dcterms:created>
  <dcterms:modified xsi:type="dcterms:W3CDTF">2025-02-06T03:37:44Z</dcterms:modified>
</cp:coreProperties>
</file>